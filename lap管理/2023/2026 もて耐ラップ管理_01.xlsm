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nbe\git\motetai\lap管理\2023\"/>
    </mc:Choice>
  </mc:AlternateContent>
  <xr:revisionPtr revIDLastSave="0" documentId="13_ncr:1_{F300E25D-4E1F-4A66-ACFA-91A3F3832D56}" xr6:coauthVersionLast="47" xr6:coauthVersionMax="47" xr10:uidLastSave="{00000000-0000-0000-0000-000000000000}"/>
  <bookViews>
    <workbookView xWindow="-110" yWindow="-110" windowWidth="19420" windowHeight="11500" tabRatio="482" activeTab="1" xr2:uid="{00000000-000D-0000-FFFF-FFFF00000000}"/>
  </bookViews>
  <sheets>
    <sheet name="実績" sheetId="24" r:id="rId1"/>
    <sheet name="計画" sheetId="23" r:id="rId2"/>
    <sheet name="燃料消費量" sheetId="1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N40" i="23" l="1"/>
  <c r="CN39" i="23"/>
  <c r="CN38" i="23"/>
  <c r="CN37" i="23"/>
  <c r="CN36" i="23"/>
  <c r="CN34" i="23"/>
  <c r="CN33" i="23"/>
  <c r="CN32" i="23"/>
  <c r="CN31" i="23"/>
  <c r="CN30" i="23"/>
  <c r="CN29" i="23"/>
  <c r="CN28" i="23"/>
  <c r="CN27" i="23"/>
  <c r="CN26" i="23"/>
  <c r="CN25" i="23"/>
  <c r="CN24" i="23"/>
  <c r="CN23" i="23"/>
  <c r="CP23" i="23"/>
  <c r="CQ23" i="23" s="1"/>
  <c r="CF17" i="23"/>
  <c r="BV17" i="23"/>
  <c r="BL17" i="23"/>
  <c r="BJ38" i="23"/>
  <c r="BJ37" i="23"/>
  <c r="BJ36" i="23"/>
  <c r="BJ35" i="23"/>
  <c r="BJ34" i="23"/>
  <c r="CN21" i="23"/>
  <c r="AR17" i="23"/>
  <c r="AF41" i="23"/>
  <c r="AF40" i="23"/>
  <c r="AF39" i="23"/>
  <c r="AF38" i="23"/>
  <c r="AF37" i="23"/>
  <c r="AF36" i="23"/>
  <c r="AH36" i="23" s="1"/>
  <c r="AI36" i="23" s="1"/>
  <c r="AH17" i="23"/>
  <c r="X17" i="23"/>
  <c r="O43" i="23"/>
  <c r="BT37" i="23"/>
  <c r="BT36" i="23"/>
  <c r="BT35" i="23"/>
  <c r="AP41" i="23"/>
  <c r="AP40" i="23"/>
  <c r="AP39" i="23"/>
  <c r="AP38" i="23"/>
  <c r="CN22" i="23"/>
  <c r="BB40" i="24"/>
  <c r="AZ41" i="24"/>
  <c r="BB41" i="24" s="1"/>
  <c r="AZ42" i="24"/>
  <c r="AZ43" i="24"/>
  <c r="CQ21" i="24"/>
  <c r="CN21" i="24"/>
  <c r="L42" i="23"/>
  <c r="L41" i="23"/>
  <c r="N41" i="23" s="1"/>
  <c r="O41" i="23" s="1"/>
  <c r="L40" i="23"/>
  <c r="L39" i="23"/>
  <c r="N39" i="23" s="1"/>
  <c r="O39" i="23" s="1"/>
  <c r="CN32" i="24"/>
  <c r="CN31" i="24"/>
  <c r="CN30" i="24"/>
  <c r="CN29" i="24"/>
  <c r="CN28" i="24"/>
  <c r="CN27" i="24"/>
  <c r="CN26" i="24"/>
  <c r="CN25" i="24"/>
  <c r="CN24" i="24"/>
  <c r="CN23" i="24"/>
  <c r="CN22" i="24"/>
  <c r="CG21" i="24"/>
  <c r="CD21" i="24"/>
  <c r="CD33" i="24"/>
  <c r="CD32" i="24"/>
  <c r="CD31" i="24"/>
  <c r="CD30" i="24"/>
  <c r="CD29" i="24"/>
  <c r="CD28" i="24"/>
  <c r="CD27" i="24"/>
  <c r="CD26" i="24"/>
  <c r="CD25" i="24"/>
  <c r="CD24" i="24"/>
  <c r="CD23" i="24"/>
  <c r="CD22" i="24"/>
  <c r="BW21" i="24"/>
  <c r="BT21" i="24"/>
  <c r="BT34" i="24"/>
  <c r="BT33" i="24"/>
  <c r="BT32" i="24"/>
  <c r="BT31" i="24"/>
  <c r="BT30" i="24"/>
  <c r="BT29" i="24"/>
  <c r="BT28" i="24"/>
  <c r="BT27" i="24"/>
  <c r="BT26" i="24"/>
  <c r="BT25" i="24"/>
  <c r="BT24" i="24"/>
  <c r="BT23" i="24"/>
  <c r="BT22" i="24"/>
  <c r="BB17" i="24"/>
  <c r="BL17" i="24"/>
  <c r="BV17" i="24"/>
  <c r="BM21" i="24"/>
  <c r="BJ21" i="24"/>
  <c r="BJ40" i="24"/>
  <c r="BJ39" i="24"/>
  <c r="BJ38" i="24"/>
  <c r="BJ37" i="24"/>
  <c r="BJ36" i="24"/>
  <c r="BJ35" i="24"/>
  <c r="BJ34" i="24"/>
  <c r="BJ33" i="24"/>
  <c r="BJ32" i="24"/>
  <c r="BJ31" i="24"/>
  <c r="BJ30" i="24"/>
  <c r="BJ29" i="24"/>
  <c r="BJ28" i="24"/>
  <c r="BJ27" i="24"/>
  <c r="BJ26" i="24"/>
  <c r="BJ25" i="24"/>
  <c r="BJ24" i="24"/>
  <c r="BJ23" i="24"/>
  <c r="BJ39" i="23"/>
  <c r="BJ40" i="23"/>
  <c r="BJ41" i="23"/>
  <c r="BJ42" i="23"/>
  <c r="BJ43" i="23"/>
  <c r="BJ44" i="23"/>
  <c r="BJ45" i="23"/>
  <c r="BJ22" i="24"/>
  <c r="BC21" i="24"/>
  <c r="AZ21" i="24"/>
  <c r="AZ38" i="24"/>
  <c r="AZ37" i="24"/>
  <c r="AZ36" i="24"/>
  <c r="AZ35" i="24"/>
  <c r="AZ34" i="24"/>
  <c r="AZ33" i="24"/>
  <c r="AZ32" i="24"/>
  <c r="AZ31" i="24"/>
  <c r="AZ30" i="24"/>
  <c r="AZ29" i="24"/>
  <c r="AZ28" i="24"/>
  <c r="AZ27" i="24"/>
  <c r="AZ26" i="24"/>
  <c r="AZ25" i="24"/>
  <c r="AZ24" i="24"/>
  <c r="AZ23" i="24"/>
  <c r="AZ22" i="24"/>
  <c r="AS21" i="24"/>
  <c r="AP21" i="24"/>
  <c r="AF21" i="24"/>
  <c r="AP38" i="24"/>
  <c r="AP37" i="24"/>
  <c r="AP36" i="24"/>
  <c r="AP35" i="24"/>
  <c r="AP34" i="24"/>
  <c r="AP33" i="24"/>
  <c r="AP32" i="24"/>
  <c r="AP31" i="24"/>
  <c r="AP30" i="24"/>
  <c r="AP29" i="24"/>
  <c r="AP28" i="24"/>
  <c r="AP27" i="24"/>
  <c r="AP26" i="24"/>
  <c r="AP25" i="24"/>
  <c r="AP24" i="24"/>
  <c r="AP23" i="24"/>
  <c r="AP22" i="24"/>
  <c r="AF44" i="24"/>
  <c r="AF43" i="24"/>
  <c r="AF42" i="24"/>
  <c r="AF41" i="24"/>
  <c r="AF40" i="24"/>
  <c r="AF39" i="24"/>
  <c r="AF38" i="24"/>
  <c r="AF37" i="24"/>
  <c r="AF36" i="24"/>
  <c r="AF35" i="24"/>
  <c r="AF34" i="24"/>
  <c r="AF33" i="24"/>
  <c r="AF32" i="24"/>
  <c r="AF31" i="24"/>
  <c r="AF30" i="24"/>
  <c r="V35" i="23"/>
  <c r="V42" i="23"/>
  <c r="V43" i="23"/>
  <c r="AF29" i="24"/>
  <c r="AF28" i="24"/>
  <c r="AF27" i="24"/>
  <c r="AH17" i="24"/>
  <c r="AF26" i="24"/>
  <c r="AF25" i="24"/>
  <c r="AF24" i="24"/>
  <c r="Y35" i="24"/>
  <c r="Y38" i="24"/>
  <c r="Y39" i="24"/>
  <c r="Y40" i="24"/>
  <c r="Y41" i="24"/>
  <c r="Y42" i="24"/>
  <c r="X35" i="24"/>
  <c r="X36" i="24"/>
  <c r="Y36" i="24" s="1"/>
  <c r="X38" i="24"/>
  <c r="X39" i="24"/>
  <c r="X40" i="24"/>
  <c r="X41" i="24"/>
  <c r="X42" i="24"/>
  <c r="V35" i="24"/>
  <c r="V36" i="24"/>
  <c r="V37" i="24"/>
  <c r="X37" i="24" s="1"/>
  <c r="Y37" i="24" s="1"/>
  <c r="V38" i="24"/>
  <c r="V39" i="24"/>
  <c r="V40" i="24"/>
  <c r="V41" i="24"/>
  <c r="V42" i="24"/>
  <c r="AF23" i="24"/>
  <c r="AF22" i="24"/>
  <c r="Y21" i="24"/>
  <c r="V21" i="24"/>
  <c r="CP24" i="23" l="1"/>
  <c r="CQ24" i="23" s="1"/>
  <c r="AH37" i="23"/>
  <c r="AI37" i="23" s="1"/>
  <c r="AH38" i="23"/>
  <c r="AI38" i="23" s="1"/>
  <c r="AH39" i="23"/>
  <c r="AI39" i="23" s="1"/>
  <c r="AH40" i="23"/>
  <c r="AI40" i="23" s="1"/>
  <c r="AH41" i="23"/>
  <c r="AI41" i="23" s="1"/>
  <c r="BC41" i="24"/>
  <c r="BB42" i="24"/>
  <c r="BC42" i="24" s="1"/>
  <c r="N42" i="23"/>
  <c r="O42" i="23" s="1"/>
  <c r="N40" i="23"/>
  <c r="O40" i="23" s="1"/>
  <c r="V34" i="24"/>
  <c r="V33" i="24"/>
  <c r="CP25" i="23" l="1"/>
  <c r="CQ25" i="23"/>
  <c r="CP26" i="23"/>
  <c r="BB43" i="24"/>
  <c r="BC43" i="24" s="1"/>
  <c r="N38" i="24"/>
  <c r="CQ26" i="23" l="1"/>
  <c r="CP27" i="23"/>
  <c r="X17" i="24"/>
  <c r="O21" i="24"/>
  <c r="L21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CP28" i="23" l="1"/>
  <c r="CQ27" i="23"/>
  <c r="CD21" i="23"/>
  <c r="CD23" i="23"/>
  <c r="CD24" i="23"/>
  <c r="CD25" i="23"/>
  <c r="CD26" i="23"/>
  <c r="CD27" i="23"/>
  <c r="CD28" i="23"/>
  <c r="CD29" i="23"/>
  <c r="CD30" i="23"/>
  <c r="CD31" i="23"/>
  <c r="CD32" i="23"/>
  <c r="CD33" i="23"/>
  <c r="CD22" i="23"/>
  <c r="BT38" i="23"/>
  <c r="BT39" i="23"/>
  <c r="BT40" i="23"/>
  <c r="BT41" i="23"/>
  <c r="BT26" i="23"/>
  <c r="BT27" i="23"/>
  <c r="BT28" i="23"/>
  <c r="BT29" i="23"/>
  <c r="BT30" i="23"/>
  <c r="BT31" i="23"/>
  <c r="BT32" i="23"/>
  <c r="BT33" i="23"/>
  <c r="BT34" i="23"/>
  <c r="BM39" i="23"/>
  <c r="CQ28" i="23" l="1"/>
  <c r="CP29" i="23"/>
  <c r="O39" i="24"/>
  <c r="L39" i="24"/>
  <c r="CQ29" i="23" l="1"/>
  <c r="CP30" i="23"/>
  <c r="V32" i="24"/>
  <c r="AS39" i="24"/>
  <c r="AP39" i="24"/>
  <c r="AZ39" i="24"/>
  <c r="BJ41" i="24"/>
  <c r="BJ42" i="24"/>
  <c r="BJ43" i="24"/>
  <c r="BJ44" i="24"/>
  <c r="BJ45" i="24"/>
  <c r="BJ46" i="24"/>
  <c r="BT35" i="24"/>
  <c r="BT36" i="24"/>
  <c r="BT37" i="24"/>
  <c r="BT38" i="24"/>
  <c r="BT39" i="24"/>
  <c r="BT40" i="24"/>
  <c r="BT41" i="24"/>
  <c r="BT42" i="24"/>
  <c r="BT43" i="24"/>
  <c r="BW35" i="24"/>
  <c r="BW36" i="24"/>
  <c r="BW37" i="24"/>
  <c r="BW38" i="24"/>
  <c r="BW39" i="24"/>
  <c r="BW40" i="24"/>
  <c r="BW41" i="24"/>
  <c r="BW42" i="24"/>
  <c r="BW43" i="24"/>
  <c r="CQ30" i="23" l="1"/>
  <c r="CP31" i="23"/>
  <c r="O41" i="24"/>
  <c r="O42" i="24"/>
  <c r="O43" i="24"/>
  <c r="O44" i="24"/>
  <c r="L41" i="24"/>
  <c r="L42" i="24"/>
  <c r="L43" i="24"/>
  <c r="Y43" i="24"/>
  <c r="Y44" i="24"/>
  <c r="Y45" i="24"/>
  <c r="Y46" i="24"/>
  <c r="X20" i="24"/>
  <c r="V43" i="24"/>
  <c r="BM41" i="24"/>
  <c r="BM42" i="24"/>
  <c r="BM43" i="24"/>
  <c r="BM44" i="24"/>
  <c r="BM45" i="24"/>
  <c r="BM46" i="24"/>
  <c r="BM47" i="24"/>
  <c r="BW44" i="24"/>
  <c r="CQ31" i="23" l="1"/>
  <c r="CP32" i="23"/>
  <c r="CP33" i="23" s="1"/>
  <c r="L21" i="23"/>
  <c r="CQ33" i="23" l="1"/>
  <c r="CP34" i="23"/>
  <c r="CQ32" i="23"/>
  <c r="AI45" i="24"/>
  <c r="AI46" i="24"/>
  <c r="AF45" i="24"/>
  <c r="AS40" i="24"/>
  <c r="AS41" i="24"/>
  <c r="AS42" i="24"/>
  <c r="AS43" i="24"/>
  <c r="AP40" i="24"/>
  <c r="AP41" i="24"/>
  <c r="AP42" i="24"/>
  <c r="AP43" i="24"/>
  <c r="BC44" i="24"/>
  <c r="BC45" i="24"/>
  <c r="CQ34" i="23" l="1"/>
  <c r="CP35" i="23"/>
  <c r="DU60" i="24"/>
  <c r="DR60" i="24"/>
  <c r="DT60" i="24" s="1"/>
  <c r="DK60" i="24"/>
  <c r="DH60" i="24"/>
  <c r="DJ60" i="24" s="1"/>
  <c r="DA60" i="24"/>
  <c r="CX60" i="24"/>
  <c r="CZ60" i="24" s="1"/>
  <c r="CQ60" i="24"/>
  <c r="CN60" i="24"/>
  <c r="CP60" i="24" s="1"/>
  <c r="CG60" i="24"/>
  <c r="CD60" i="24"/>
  <c r="CF60" i="24" s="1"/>
  <c r="BW60" i="24"/>
  <c r="BT60" i="24"/>
  <c r="BV60" i="24" s="1"/>
  <c r="BM60" i="24"/>
  <c r="BJ60" i="24"/>
  <c r="BL60" i="24" s="1"/>
  <c r="BC60" i="24"/>
  <c r="AZ60" i="24"/>
  <c r="BB60" i="24" s="1"/>
  <c r="AS60" i="24"/>
  <c r="AP60" i="24"/>
  <c r="AR60" i="24" s="1"/>
  <c r="AI60" i="24"/>
  <c r="AF60" i="24"/>
  <c r="AH60" i="24" s="1"/>
  <c r="Y60" i="24"/>
  <c r="V60" i="24"/>
  <c r="X60" i="24" s="1"/>
  <c r="O60" i="24"/>
  <c r="L60" i="24"/>
  <c r="N60" i="24" s="1"/>
  <c r="DU59" i="24"/>
  <c r="DR59" i="24"/>
  <c r="DT59" i="24" s="1"/>
  <c r="DK59" i="24"/>
  <c r="DH59" i="24"/>
  <c r="DJ59" i="24" s="1"/>
  <c r="DA59" i="24"/>
  <c r="CX59" i="24"/>
  <c r="CZ59" i="24" s="1"/>
  <c r="CQ59" i="24"/>
  <c r="CN59" i="24"/>
  <c r="CP59" i="24" s="1"/>
  <c r="CG59" i="24"/>
  <c r="CD59" i="24"/>
  <c r="CF59" i="24" s="1"/>
  <c r="BW59" i="24"/>
  <c r="BT59" i="24"/>
  <c r="BV59" i="24" s="1"/>
  <c r="BM59" i="24"/>
  <c r="BJ59" i="24"/>
  <c r="BL59" i="24" s="1"/>
  <c r="BC59" i="24"/>
  <c r="AZ59" i="24"/>
  <c r="BB59" i="24" s="1"/>
  <c r="AS59" i="24"/>
  <c r="AP59" i="24"/>
  <c r="AR59" i="24" s="1"/>
  <c r="AI59" i="24"/>
  <c r="AF59" i="24"/>
  <c r="AH59" i="24" s="1"/>
  <c r="Y59" i="24"/>
  <c r="V59" i="24"/>
  <c r="X59" i="24" s="1"/>
  <c r="O59" i="24"/>
  <c r="L59" i="24"/>
  <c r="N59" i="24" s="1"/>
  <c r="DU58" i="24"/>
  <c r="DR58" i="24"/>
  <c r="DT58" i="24" s="1"/>
  <c r="DK58" i="24"/>
  <c r="DH58" i="24"/>
  <c r="DJ58" i="24" s="1"/>
  <c r="DA58" i="24"/>
  <c r="CX58" i="24"/>
  <c r="CZ58" i="24" s="1"/>
  <c r="CQ58" i="24"/>
  <c r="CN58" i="24"/>
  <c r="CP58" i="24" s="1"/>
  <c r="CG58" i="24"/>
  <c r="CD58" i="24"/>
  <c r="CF58" i="24" s="1"/>
  <c r="BW58" i="24"/>
  <c r="BT58" i="24"/>
  <c r="BV58" i="24" s="1"/>
  <c r="BM58" i="24"/>
  <c r="BJ58" i="24"/>
  <c r="BL58" i="24" s="1"/>
  <c r="BC58" i="24"/>
  <c r="AZ58" i="24"/>
  <c r="BB58" i="24" s="1"/>
  <c r="AS58" i="24"/>
  <c r="AP58" i="24"/>
  <c r="AR58" i="24" s="1"/>
  <c r="AI58" i="24"/>
  <c r="AF58" i="24"/>
  <c r="AH58" i="24" s="1"/>
  <c r="Y58" i="24"/>
  <c r="V58" i="24"/>
  <c r="X58" i="24" s="1"/>
  <c r="O58" i="24"/>
  <c r="L58" i="24"/>
  <c r="N58" i="24" s="1"/>
  <c r="DU57" i="24"/>
  <c r="DR57" i="24"/>
  <c r="DT57" i="24" s="1"/>
  <c r="DK57" i="24"/>
  <c r="DH57" i="24"/>
  <c r="DJ57" i="24" s="1"/>
  <c r="DA57" i="24"/>
  <c r="CX57" i="24"/>
  <c r="CZ57" i="24" s="1"/>
  <c r="CQ57" i="24"/>
  <c r="CP57" i="24"/>
  <c r="CN57" i="24"/>
  <c r="CG57" i="24"/>
  <c r="CD57" i="24"/>
  <c r="CF57" i="24" s="1"/>
  <c r="BW57" i="24"/>
  <c r="BT57" i="24"/>
  <c r="BV57" i="24" s="1"/>
  <c r="BM57" i="24"/>
  <c r="BJ57" i="24"/>
  <c r="BL57" i="24" s="1"/>
  <c r="BC57" i="24"/>
  <c r="AZ57" i="24"/>
  <c r="BB57" i="24" s="1"/>
  <c r="AS57" i="24"/>
  <c r="AP57" i="24"/>
  <c r="AR57" i="24" s="1"/>
  <c r="AI57" i="24"/>
  <c r="AF57" i="24"/>
  <c r="AH57" i="24" s="1"/>
  <c r="Y57" i="24"/>
  <c r="V57" i="24"/>
  <c r="X57" i="24" s="1"/>
  <c r="O57" i="24"/>
  <c r="L57" i="24"/>
  <c r="N57" i="24" s="1"/>
  <c r="DU56" i="24"/>
  <c r="DR56" i="24"/>
  <c r="DT56" i="24" s="1"/>
  <c r="DK56" i="24"/>
  <c r="DH56" i="24"/>
  <c r="DJ56" i="24" s="1"/>
  <c r="DA56" i="24"/>
  <c r="CX56" i="24"/>
  <c r="CZ56" i="24" s="1"/>
  <c r="CQ56" i="24"/>
  <c r="CN56" i="24"/>
  <c r="CP56" i="24" s="1"/>
  <c r="CG56" i="24"/>
  <c r="CD56" i="24"/>
  <c r="CF56" i="24" s="1"/>
  <c r="BW56" i="24"/>
  <c r="BT56" i="24"/>
  <c r="BV56" i="24" s="1"/>
  <c r="BM56" i="24"/>
  <c r="BJ56" i="24"/>
  <c r="BL56" i="24" s="1"/>
  <c r="BC56" i="24"/>
  <c r="AZ56" i="24"/>
  <c r="BB56" i="24" s="1"/>
  <c r="AS56" i="24"/>
  <c r="AP56" i="24"/>
  <c r="AR56" i="24" s="1"/>
  <c r="AI56" i="24"/>
  <c r="AF56" i="24"/>
  <c r="AH56" i="24" s="1"/>
  <c r="Y56" i="24"/>
  <c r="V56" i="24"/>
  <c r="X56" i="24" s="1"/>
  <c r="O56" i="24"/>
  <c r="L56" i="24"/>
  <c r="N56" i="24" s="1"/>
  <c r="DU55" i="24"/>
  <c r="DR55" i="24"/>
  <c r="DT55" i="24" s="1"/>
  <c r="DK55" i="24"/>
  <c r="DH55" i="24"/>
  <c r="DJ55" i="24" s="1"/>
  <c r="DA55" i="24"/>
  <c r="CX55" i="24"/>
  <c r="CZ55" i="24" s="1"/>
  <c r="CQ55" i="24"/>
  <c r="CN55" i="24"/>
  <c r="CP55" i="24" s="1"/>
  <c r="CG55" i="24"/>
  <c r="CD55" i="24"/>
  <c r="CF55" i="24" s="1"/>
  <c r="BW55" i="24"/>
  <c r="BT55" i="24"/>
  <c r="BV55" i="24" s="1"/>
  <c r="BM55" i="24"/>
  <c r="BJ55" i="24"/>
  <c r="BL55" i="24" s="1"/>
  <c r="BC55" i="24"/>
  <c r="AZ55" i="24"/>
  <c r="BB55" i="24" s="1"/>
  <c r="AS55" i="24"/>
  <c r="AP55" i="24"/>
  <c r="AR55" i="24" s="1"/>
  <c r="AI55" i="24"/>
  <c r="AF55" i="24"/>
  <c r="AH55" i="24" s="1"/>
  <c r="Y55" i="24"/>
  <c r="V55" i="24"/>
  <c r="X55" i="24" s="1"/>
  <c r="O55" i="24"/>
  <c r="L55" i="24"/>
  <c r="N55" i="24" s="1"/>
  <c r="DU54" i="24"/>
  <c r="DR54" i="24"/>
  <c r="DT54" i="24" s="1"/>
  <c r="DK54" i="24"/>
  <c r="DH54" i="24"/>
  <c r="DJ54" i="24" s="1"/>
  <c r="DA54" i="24"/>
  <c r="CX54" i="24"/>
  <c r="CZ54" i="24" s="1"/>
  <c r="CQ54" i="24"/>
  <c r="CN54" i="24"/>
  <c r="CP54" i="24" s="1"/>
  <c r="CG54" i="24"/>
  <c r="CD54" i="24"/>
  <c r="CF54" i="24" s="1"/>
  <c r="BW54" i="24"/>
  <c r="BT54" i="24"/>
  <c r="BV54" i="24" s="1"/>
  <c r="BM54" i="24"/>
  <c r="BJ54" i="24"/>
  <c r="BL54" i="24" s="1"/>
  <c r="BC54" i="24"/>
  <c r="AZ54" i="24"/>
  <c r="BB54" i="24" s="1"/>
  <c r="AS54" i="24"/>
  <c r="AP54" i="24"/>
  <c r="AR54" i="24" s="1"/>
  <c r="AI54" i="24"/>
  <c r="AF54" i="24"/>
  <c r="AH54" i="24" s="1"/>
  <c r="Y54" i="24"/>
  <c r="V54" i="24"/>
  <c r="X54" i="24" s="1"/>
  <c r="O54" i="24"/>
  <c r="L54" i="24"/>
  <c r="N54" i="24" s="1"/>
  <c r="DU53" i="24"/>
  <c r="DR53" i="24"/>
  <c r="DT53" i="24" s="1"/>
  <c r="DK53" i="24"/>
  <c r="DH53" i="24"/>
  <c r="DJ53" i="24" s="1"/>
  <c r="DA53" i="24"/>
  <c r="CX53" i="24"/>
  <c r="CZ53" i="24" s="1"/>
  <c r="CQ53" i="24"/>
  <c r="CN53" i="24"/>
  <c r="CP53" i="24" s="1"/>
  <c r="CG53" i="24"/>
  <c r="CD53" i="24"/>
  <c r="CF53" i="24" s="1"/>
  <c r="BW53" i="24"/>
  <c r="BT53" i="24"/>
  <c r="BV53" i="24" s="1"/>
  <c r="BM53" i="24"/>
  <c r="BJ53" i="24"/>
  <c r="BL53" i="24" s="1"/>
  <c r="BC53" i="24"/>
  <c r="AZ53" i="24"/>
  <c r="BB53" i="24" s="1"/>
  <c r="AS53" i="24"/>
  <c r="AP53" i="24"/>
  <c r="AR53" i="24" s="1"/>
  <c r="AI53" i="24"/>
  <c r="AF53" i="24"/>
  <c r="AH53" i="24" s="1"/>
  <c r="Y53" i="24"/>
  <c r="V53" i="24"/>
  <c r="X53" i="24" s="1"/>
  <c r="O53" i="24"/>
  <c r="L53" i="24"/>
  <c r="N53" i="24" s="1"/>
  <c r="DU52" i="24"/>
  <c r="DR52" i="24"/>
  <c r="DT52" i="24" s="1"/>
  <c r="DK52" i="24"/>
  <c r="DH52" i="24"/>
  <c r="DJ52" i="24" s="1"/>
  <c r="DA52" i="24"/>
  <c r="CX52" i="24"/>
  <c r="CZ52" i="24" s="1"/>
  <c r="CQ52" i="24"/>
  <c r="CP52" i="24"/>
  <c r="CN52" i="24"/>
  <c r="CG52" i="24"/>
  <c r="CD52" i="24"/>
  <c r="CF52" i="24" s="1"/>
  <c r="BW52" i="24"/>
  <c r="BT52" i="24"/>
  <c r="BV52" i="24" s="1"/>
  <c r="BM52" i="24"/>
  <c r="BJ52" i="24"/>
  <c r="BL52" i="24" s="1"/>
  <c r="BC52" i="24"/>
  <c r="AZ52" i="24"/>
  <c r="BB52" i="24" s="1"/>
  <c r="AS52" i="24"/>
  <c r="AP52" i="24"/>
  <c r="AR52" i="24" s="1"/>
  <c r="AI52" i="24"/>
  <c r="AF52" i="24"/>
  <c r="AH52" i="24" s="1"/>
  <c r="Y52" i="24"/>
  <c r="V52" i="24"/>
  <c r="X52" i="24" s="1"/>
  <c r="O52" i="24"/>
  <c r="L52" i="24"/>
  <c r="N52" i="24" s="1"/>
  <c r="DU51" i="24"/>
  <c r="DR51" i="24"/>
  <c r="DT51" i="24" s="1"/>
  <c r="DK51" i="24"/>
  <c r="DH51" i="24"/>
  <c r="DJ51" i="24" s="1"/>
  <c r="DA51" i="24"/>
  <c r="CX51" i="24"/>
  <c r="CZ51" i="24" s="1"/>
  <c r="CQ51" i="24"/>
  <c r="CN51" i="24"/>
  <c r="CP51" i="24" s="1"/>
  <c r="CG51" i="24"/>
  <c r="CD51" i="24"/>
  <c r="CF51" i="24" s="1"/>
  <c r="BW51" i="24"/>
  <c r="BT51" i="24"/>
  <c r="BV51" i="24" s="1"/>
  <c r="BM51" i="24"/>
  <c r="BJ51" i="24"/>
  <c r="BL51" i="24" s="1"/>
  <c r="BC51" i="24"/>
  <c r="AZ51" i="24"/>
  <c r="BB51" i="24" s="1"/>
  <c r="AS51" i="24"/>
  <c r="AP51" i="24"/>
  <c r="AR51" i="24" s="1"/>
  <c r="AI51" i="24"/>
  <c r="AF51" i="24"/>
  <c r="AH51" i="24" s="1"/>
  <c r="Y51" i="24"/>
  <c r="V51" i="24"/>
  <c r="X51" i="24" s="1"/>
  <c r="O51" i="24"/>
  <c r="L51" i="24"/>
  <c r="N51" i="24" s="1"/>
  <c r="DU50" i="24"/>
  <c r="DR50" i="24"/>
  <c r="DT50" i="24" s="1"/>
  <c r="DK50" i="24"/>
  <c r="DH50" i="24"/>
  <c r="DJ50" i="24" s="1"/>
  <c r="DA50" i="24"/>
  <c r="CX50" i="24"/>
  <c r="CZ50" i="24" s="1"/>
  <c r="CQ50" i="24"/>
  <c r="CN50" i="24"/>
  <c r="CP50" i="24" s="1"/>
  <c r="CG50" i="24"/>
  <c r="CD50" i="24"/>
  <c r="CF50" i="24" s="1"/>
  <c r="BW50" i="24"/>
  <c r="BT50" i="24"/>
  <c r="BV50" i="24" s="1"/>
  <c r="BM50" i="24"/>
  <c r="BJ50" i="24"/>
  <c r="BL50" i="24" s="1"/>
  <c r="BC50" i="24"/>
  <c r="AZ50" i="24"/>
  <c r="BB50" i="24" s="1"/>
  <c r="AS50" i="24"/>
  <c r="AP50" i="24"/>
  <c r="AR50" i="24" s="1"/>
  <c r="AI50" i="24"/>
  <c r="AF50" i="24"/>
  <c r="AH50" i="24" s="1"/>
  <c r="Y50" i="24"/>
  <c r="V50" i="24"/>
  <c r="X50" i="24" s="1"/>
  <c r="O50" i="24"/>
  <c r="L50" i="24"/>
  <c r="N50" i="24" s="1"/>
  <c r="DU49" i="24"/>
  <c r="DR49" i="24"/>
  <c r="DT49" i="24" s="1"/>
  <c r="DK49" i="24"/>
  <c r="DH49" i="24"/>
  <c r="DJ49" i="24" s="1"/>
  <c r="DA49" i="24"/>
  <c r="CX49" i="24"/>
  <c r="CZ49" i="24" s="1"/>
  <c r="CQ49" i="24"/>
  <c r="CP49" i="24"/>
  <c r="CN49" i="24"/>
  <c r="CG49" i="24"/>
  <c r="CD49" i="24"/>
  <c r="CF49" i="24" s="1"/>
  <c r="BW49" i="24"/>
  <c r="BT49" i="24"/>
  <c r="BV49" i="24" s="1"/>
  <c r="BM49" i="24"/>
  <c r="BJ49" i="24"/>
  <c r="BL49" i="24" s="1"/>
  <c r="BC49" i="24"/>
  <c r="AZ49" i="24"/>
  <c r="BB49" i="24" s="1"/>
  <c r="AS49" i="24"/>
  <c r="AP49" i="24"/>
  <c r="AR49" i="24" s="1"/>
  <c r="AI49" i="24"/>
  <c r="AF49" i="24"/>
  <c r="AH49" i="24" s="1"/>
  <c r="Y49" i="24"/>
  <c r="V49" i="24"/>
  <c r="X49" i="24" s="1"/>
  <c r="O49" i="24"/>
  <c r="L49" i="24"/>
  <c r="N49" i="24" s="1"/>
  <c r="DU48" i="24"/>
  <c r="DR48" i="24"/>
  <c r="DT48" i="24" s="1"/>
  <c r="DK48" i="24"/>
  <c r="DH48" i="24"/>
  <c r="DJ48" i="24" s="1"/>
  <c r="DA48" i="24"/>
  <c r="CX48" i="24"/>
  <c r="CZ48" i="24" s="1"/>
  <c r="CQ48" i="24"/>
  <c r="CN48" i="24"/>
  <c r="CP48" i="24" s="1"/>
  <c r="CG48" i="24"/>
  <c r="CD48" i="24"/>
  <c r="CF48" i="24" s="1"/>
  <c r="BW48" i="24"/>
  <c r="BT48" i="24"/>
  <c r="BV48" i="24" s="1"/>
  <c r="BM48" i="24"/>
  <c r="BJ48" i="24"/>
  <c r="BL48" i="24" s="1"/>
  <c r="BC48" i="24"/>
  <c r="AZ48" i="24"/>
  <c r="BB48" i="24" s="1"/>
  <c r="AS48" i="24"/>
  <c r="AP48" i="24"/>
  <c r="AR48" i="24" s="1"/>
  <c r="AI48" i="24"/>
  <c r="AF48" i="24"/>
  <c r="AH48" i="24" s="1"/>
  <c r="Y48" i="24"/>
  <c r="V48" i="24"/>
  <c r="X48" i="24" s="1"/>
  <c r="O48" i="24"/>
  <c r="L48" i="24"/>
  <c r="N48" i="24" s="1"/>
  <c r="DU47" i="24"/>
  <c r="DR47" i="24"/>
  <c r="DT47" i="24" s="1"/>
  <c r="DK47" i="24"/>
  <c r="DH47" i="24"/>
  <c r="DJ47" i="24" s="1"/>
  <c r="DA47" i="24"/>
  <c r="CX47" i="24"/>
  <c r="CZ47" i="24" s="1"/>
  <c r="CQ47" i="24"/>
  <c r="CN47" i="24"/>
  <c r="CP47" i="24" s="1"/>
  <c r="CG47" i="24"/>
  <c r="CD47" i="24"/>
  <c r="CF47" i="24" s="1"/>
  <c r="BW47" i="24"/>
  <c r="BT47" i="24"/>
  <c r="BV47" i="24" s="1"/>
  <c r="BJ47" i="24"/>
  <c r="BL47" i="24" s="1"/>
  <c r="BC47" i="24"/>
  <c r="AZ47" i="24"/>
  <c r="BB47" i="24" s="1"/>
  <c r="AS47" i="24"/>
  <c r="AP47" i="24"/>
  <c r="AR47" i="24" s="1"/>
  <c r="AI47" i="24"/>
  <c r="AF47" i="24"/>
  <c r="AH47" i="24" s="1"/>
  <c r="Y47" i="24"/>
  <c r="V47" i="24"/>
  <c r="X47" i="24" s="1"/>
  <c r="O47" i="24"/>
  <c r="L47" i="24"/>
  <c r="N47" i="24" s="1"/>
  <c r="DU46" i="24"/>
  <c r="DR46" i="24"/>
  <c r="DT46" i="24" s="1"/>
  <c r="DK46" i="24"/>
  <c r="DH46" i="24"/>
  <c r="DJ46" i="24" s="1"/>
  <c r="DA46" i="24"/>
  <c r="CX46" i="24"/>
  <c r="CZ46" i="24" s="1"/>
  <c r="CQ46" i="24"/>
  <c r="CN46" i="24"/>
  <c r="CP46" i="24" s="1"/>
  <c r="CG46" i="24"/>
  <c r="CD46" i="24"/>
  <c r="CF46" i="24" s="1"/>
  <c r="BW46" i="24"/>
  <c r="BT46" i="24"/>
  <c r="BV46" i="24" s="1"/>
  <c r="BL46" i="24"/>
  <c r="BC46" i="24"/>
  <c r="AZ46" i="24"/>
  <c r="BB46" i="24" s="1"/>
  <c r="AS46" i="24"/>
  <c r="AP46" i="24"/>
  <c r="AR46" i="24" s="1"/>
  <c r="AF46" i="24"/>
  <c r="AH46" i="24" s="1"/>
  <c r="V46" i="24"/>
  <c r="X46" i="24" s="1"/>
  <c r="O46" i="24"/>
  <c r="L46" i="24"/>
  <c r="N46" i="24" s="1"/>
  <c r="DU45" i="24"/>
  <c r="DR45" i="24"/>
  <c r="DT45" i="24" s="1"/>
  <c r="DK45" i="24"/>
  <c r="DH45" i="24"/>
  <c r="DJ45" i="24" s="1"/>
  <c r="DA45" i="24"/>
  <c r="CX45" i="24"/>
  <c r="CZ45" i="24" s="1"/>
  <c r="CQ45" i="24"/>
  <c r="CN45" i="24"/>
  <c r="CP45" i="24" s="1"/>
  <c r="CG45" i="24"/>
  <c r="CD45" i="24"/>
  <c r="CF45" i="24" s="1"/>
  <c r="BW45" i="24"/>
  <c r="BT45" i="24"/>
  <c r="BV45" i="24" s="1"/>
  <c r="BL45" i="24"/>
  <c r="AZ45" i="24"/>
  <c r="BB45" i="24" s="1"/>
  <c r="AS45" i="24"/>
  <c r="AP45" i="24"/>
  <c r="AR45" i="24" s="1"/>
  <c r="AH45" i="24"/>
  <c r="V45" i="24"/>
  <c r="X45" i="24" s="1"/>
  <c r="O45" i="24"/>
  <c r="L45" i="24"/>
  <c r="N45" i="24" s="1"/>
  <c r="DU44" i="24"/>
  <c r="DR44" i="24"/>
  <c r="DT44" i="24" s="1"/>
  <c r="DK44" i="24"/>
  <c r="DH44" i="24"/>
  <c r="DJ44" i="24" s="1"/>
  <c r="DA44" i="24"/>
  <c r="CX44" i="24"/>
  <c r="CZ44" i="24" s="1"/>
  <c r="CQ44" i="24"/>
  <c r="CN44" i="24"/>
  <c r="CP44" i="24" s="1"/>
  <c r="CG44" i="24"/>
  <c r="CD44" i="24"/>
  <c r="CF44" i="24" s="1"/>
  <c r="BT44" i="24"/>
  <c r="BV44" i="24" s="1"/>
  <c r="BL44" i="24"/>
  <c r="AZ44" i="24"/>
  <c r="BB44" i="24" s="1"/>
  <c r="AS44" i="24"/>
  <c r="AP44" i="24"/>
  <c r="AR44" i="24" s="1"/>
  <c r="V44" i="24"/>
  <c r="X44" i="24" s="1"/>
  <c r="L44" i="24"/>
  <c r="N44" i="24" s="1"/>
  <c r="DU43" i="24"/>
  <c r="DR43" i="24"/>
  <c r="DT43" i="24" s="1"/>
  <c r="DK43" i="24"/>
  <c r="DH43" i="24"/>
  <c r="DJ43" i="24" s="1"/>
  <c r="DA43" i="24"/>
  <c r="CX43" i="24"/>
  <c r="CZ43" i="24" s="1"/>
  <c r="CP43" i="24"/>
  <c r="CG43" i="24"/>
  <c r="CD43" i="24"/>
  <c r="CF43" i="24" s="1"/>
  <c r="DU42" i="24"/>
  <c r="DR42" i="24"/>
  <c r="DT42" i="24" s="1"/>
  <c r="DK42" i="24"/>
  <c r="DH42" i="24"/>
  <c r="DJ42" i="24" s="1"/>
  <c r="DA42" i="24"/>
  <c r="CX42" i="24"/>
  <c r="CZ42" i="24" s="1"/>
  <c r="CQ42" i="24"/>
  <c r="CN42" i="24"/>
  <c r="CP42" i="24" s="1"/>
  <c r="CG42" i="24"/>
  <c r="CD42" i="24"/>
  <c r="CF42" i="24" s="1"/>
  <c r="DU41" i="24"/>
  <c r="DR41" i="24"/>
  <c r="DT41" i="24" s="1"/>
  <c r="DK41" i="24"/>
  <c r="DH41" i="24"/>
  <c r="DJ41" i="24" s="1"/>
  <c r="DA41" i="24"/>
  <c r="CX41" i="24"/>
  <c r="CZ41" i="24" s="1"/>
  <c r="CQ41" i="24"/>
  <c r="CN41" i="24"/>
  <c r="CP41" i="24" s="1"/>
  <c r="CG41" i="24"/>
  <c r="CD41" i="24"/>
  <c r="CF41" i="24" s="1"/>
  <c r="DU40" i="24"/>
  <c r="DR40" i="24"/>
  <c r="DT40" i="24" s="1"/>
  <c r="DK40" i="24"/>
  <c r="DH40" i="24"/>
  <c r="DJ40" i="24" s="1"/>
  <c r="DA40" i="24"/>
  <c r="CX40" i="24"/>
  <c r="CZ40" i="24" s="1"/>
  <c r="CP40" i="24"/>
  <c r="CG40" i="24"/>
  <c r="CD40" i="24"/>
  <c r="CF40" i="24" s="1"/>
  <c r="DU39" i="24"/>
  <c r="DR39" i="24"/>
  <c r="DT39" i="24" s="1"/>
  <c r="DK39" i="24"/>
  <c r="DH39" i="24"/>
  <c r="DJ39" i="24" s="1"/>
  <c r="DA39" i="24"/>
  <c r="CX39" i="24"/>
  <c r="CZ39" i="24" s="1"/>
  <c r="CQ39" i="24"/>
  <c r="CN39" i="24"/>
  <c r="CP39" i="24" s="1"/>
  <c r="CG39" i="24"/>
  <c r="CD39" i="24"/>
  <c r="CF39" i="24" s="1"/>
  <c r="DU38" i="24"/>
  <c r="DR38" i="24"/>
  <c r="DT38" i="24" s="1"/>
  <c r="DK38" i="24"/>
  <c r="DH38" i="24"/>
  <c r="DJ38" i="24" s="1"/>
  <c r="DA38" i="24"/>
  <c r="CX38" i="24"/>
  <c r="CZ38" i="24" s="1"/>
  <c r="CQ38" i="24"/>
  <c r="CN38" i="24"/>
  <c r="CP38" i="24" s="1"/>
  <c r="CG38" i="24"/>
  <c r="CD38" i="24"/>
  <c r="CF38" i="24" s="1"/>
  <c r="DU37" i="24"/>
  <c r="DR37" i="24"/>
  <c r="DT37" i="24" s="1"/>
  <c r="DK37" i="24"/>
  <c r="DH37" i="24"/>
  <c r="DJ37" i="24" s="1"/>
  <c r="DA37" i="24"/>
  <c r="CX37" i="24"/>
  <c r="CZ37" i="24" s="1"/>
  <c r="CQ37" i="24"/>
  <c r="CN37" i="24"/>
  <c r="CP37" i="24" s="1"/>
  <c r="CG37" i="24"/>
  <c r="CD37" i="24"/>
  <c r="CF37" i="24" s="1"/>
  <c r="DU36" i="24"/>
  <c r="DR36" i="24"/>
  <c r="DT36" i="24" s="1"/>
  <c r="DK36" i="24"/>
  <c r="DH36" i="24"/>
  <c r="DJ36" i="24" s="1"/>
  <c r="DA36" i="24"/>
  <c r="CX36" i="24"/>
  <c r="CZ36" i="24" s="1"/>
  <c r="CQ36" i="24"/>
  <c r="CN36" i="24"/>
  <c r="CP36" i="24" s="1"/>
  <c r="CG36" i="24"/>
  <c r="CD36" i="24"/>
  <c r="CF36" i="24" s="1"/>
  <c r="DU35" i="24"/>
  <c r="DR35" i="24"/>
  <c r="DT35" i="24" s="1"/>
  <c r="DK35" i="24"/>
  <c r="DH35" i="24"/>
  <c r="DJ35" i="24" s="1"/>
  <c r="DA35" i="24"/>
  <c r="CX35" i="24"/>
  <c r="CZ35" i="24" s="1"/>
  <c r="CG35" i="24"/>
  <c r="CD35" i="24"/>
  <c r="CF35" i="24" s="1"/>
  <c r="DU34" i="24"/>
  <c r="DR34" i="24"/>
  <c r="DT34" i="24" s="1"/>
  <c r="DK34" i="24"/>
  <c r="DH34" i="24"/>
  <c r="DJ34" i="24" s="1"/>
  <c r="DA34" i="24"/>
  <c r="CX34" i="24"/>
  <c r="CZ34" i="24" s="1"/>
  <c r="CG34" i="24"/>
  <c r="CD34" i="24"/>
  <c r="CF34" i="24" s="1"/>
  <c r="DU33" i="24"/>
  <c r="DR33" i="24"/>
  <c r="DT33" i="24" s="1"/>
  <c r="DK33" i="24"/>
  <c r="DH33" i="24"/>
  <c r="DJ33" i="24" s="1"/>
  <c r="DA33" i="24"/>
  <c r="CX33" i="24"/>
  <c r="CZ33" i="24" s="1"/>
  <c r="DU32" i="24"/>
  <c r="DR32" i="24"/>
  <c r="DT32" i="24" s="1"/>
  <c r="DK32" i="24"/>
  <c r="DH32" i="24"/>
  <c r="DJ32" i="24" s="1"/>
  <c r="DA32" i="24"/>
  <c r="CX32" i="24"/>
  <c r="CZ32" i="24" s="1"/>
  <c r="DU31" i="24"/>
  <c r="DR31" i="24"/>
  <c r="DT31" i="24" s="1"/>
  <c r="DK31" i="24"/>
  <c r="DH31" i="24"/>
  <c r="DJ31" i="24" s="1"/>
  <c r="DA31" i="24"/>
  <c r="CX31" i="24"/>
  <c r="CZ31" i="24" s="1"/>
  <c r="DU30" i="24"/>
  <c r="DR30" i="24"/>
  <c r="DT30" i="24" s="1"/>
  <c r="DK30" i="24"/>
  <c r="DH30" i="24"/>
  <c r="DJ30" i="24" s="1"/>
  <c r="DA30" i="24"/>
  <c r="CX30" i="24"/>
  <c r="CZ30" i="24" s="1"/>
  <c r="DU29" i="24"/>
  <c r="DR29" i="24"/>
  <c r="DT29" i="24" s="1"/>
  <c r="DK29" i="24"/>
  <c r="DH29" i="24"/>
  <c r="DJ29" i="24" s="1"/>
  <c r="DA29" i="24"/>
  <c r="CX29" i="24"/>
  <c r="CZ29" i="24" s="1"/>
  <c r="DU28" i="24"/>
  <c r="DR28" i="24"/>
  <c r="DT28" i="24" s="1"/>
  <c r="DK28" i="24"/>
  <c r="DH28" i="24"/>
  <c r="DJ28" i="24" s="1"/>
  <c r="DA28" i="24"/>
  <c r="CX28" i="24"/>
  <c r="CZ28" i="24" s="1"/>
  <c r="DU27" i="24"/>
  <c r="DR27" i="24"/>
  <c r="DT27" i="24" s="1"/>
  <c r="DK27" i="24"/>
  <c r="DH27" i="24"/>
  <c r="DJ27" i="24" s="1"/>
  <c r="DA27" i="24"/>
  <c r="CX27" i="24"/>
  <c r="CZ27" i="24" s="1"/>
  <c r="DU26" i="24"/>
  <c r="DR26" i="24"/>
  <c r="DT26" i="24" s="1"/>
  <c r="DK26" i="24"/>
  <c r="DH26" i="24"/>
  <c r="DJ26" i="24" s="1"/>
  <c r="DA26" i="24"/>
  <c r="CX26" i="24"/>
  <c r="CZ26" i="24" s="1"/>
  <c r="DU25" i="24"/>
  <c r="DR25" i="24"/>
  <c r="DT25" i="24" s="1"/>
  <c r="DK25" i="24"/>
  <c r="DH25" i="24"/>
  <c r="DJ25" i="24" s="1"/>
  <c r="DA25" i="24"/>
  <c r="CX25" i="24"/>
  <c r="CZ25" i="24" s="1"/>
  <c r="DU24" i="24"/>
  <c r="DR24" i="24"/>
  <c r="DT24" i="24" s="1"/>
  <c r="DK24" i="24"/>
  <c r="DH24" i="24"/>
  <c r="DJ24" i="24" s="1"/>
  <c r="DA24" i="24"/>
  <c r="CX24" i="24"/>
  <c r="CZ24" i="24" s="1"/>
  <c r="DU23" i="24"/>
  <c r="DR23" i="24"/>
  <c r="DT23" i="24" s="1"/>
  <c r="DK23" i="24"/>
  <c r="DH23" i="24"/>
  <c r="DJ23" i="24" s="1"/>
  <c r="DA23" i="24"/>
  <c r="CX23" i="24"/>
  <c r="CZ23" i="24" s="1"/>
  <c r="DU22" i="24"/>
  <c r="DR22" i="24"/>
  <c r="DT22" i="24" s="1"/>
  <c r="DK22" i="24"/>
  <c r="DH22" i="24"/>
  <c r="DJ22" i="24" s="1"/>
  <c r="DA22" i="24"/>
  <c r="CX22" i="24"/>
  <c r="CZ22" i="24" s="1"/>
  <c r="DU21" i="24"/>
  <c r="DR21" i="24"/>
  <c r="DT21" i="24" s="1"/>
  <c r="DK21" i="24"/>
  <c r="DH21" i="24"/>
  <c r="DJ21" i="24" s="1"/>
  <c r="DA21" i="24"/>
  <c r="CX21" i="24"/>
  <c r="CZ21" i="24" s="1"/>
  <c r="DT20" i="24"/>
  <c r="DJ20" i="24"/>
  <c r="CZ20" i="24"/>
  <c r="DT19" i="24"/>
  <c r="DJ19" i="24"/>
  <c r="CZ19" i="24"/>
  <c r="CP19" i="24"/>
  <c r="CF19" i="24"/>
  <c r="BV19" i="24"/>
  <c r="BL19" i="24"/>
  <c r="BB19" i="24"/>
  <c r="AR19" i="24"/>
  <c r="AH19" i="24"/>
  <c r="X19" i="24"/>
  <c r="DT18" i="24"/>
  <c r="DJ18" i="24"/>
  <c r="CZ18" i="24"/>
  <c r="CP18" i="24"/>
  <c r="CF18" i="24"/>
  <c r="BV18" i="24"/>
  <c r="BL18" i="24"/>
  <c r="BB18" i="24"/>
  <c r="AR18" i="24"/>
  <c r="AH18" i="24"/>
  <c r="X18" i="24"/>
  <c r="N18" i="24"/>
  <c r="N19" i="24" s="1"/>
  <c r="N20" i="24" s="1"/>
  <c r="N21" i="24" s="1"/>
  <c r="DU14" i="24"/>
  <c r="DO14" i="24"/>
  <c r="DK14" i="24"/>
  <c r="DE14" i="24"/>
  <c r="DA14" i="24"/>
  <c r="CU14" i="24"/>
  <c r="CQ14" i="24"/>
  <c r="CK14" i="24"/>
  <c r="CG14" i="24"/>
  <c r="CA14" i="24"/>
  <c r="BW14" i="24"/>
  <c r="BQ14" i="24"/>
  <c r="BM14" i="24"/>
  <c r="BG14" i="24"/>
  <c r="BC14" i="24"/>
  <c r="AW14" i="24"/>
  <c r="AS14" i="24"/>
  <c r="AM14" i="24"/>
  <c r="AI14" i="24"/>
  <c r="AC14" i="24"/>
  <c r="Y14" i="24"/>
  <c r="S14" i="24"/>
  <c r="O14" i="24"/>
  <c r="I14" i="24"/>
  <c r="DU13" i="24"/>
  <c r="DO13" i="24"/>
  <c r="DK13" i="24"/>
  <c r="DE13" i="24"/>
  <c r="DA13" i="24"/>
  <c r="CU13" i="24"/>
  <c r="CQ13" i="24"/>
  <c r="CK13" i="24"/>
  <c r="CG13" i="24"/>
  <c r="CA13" i="24"/>
  <c r="BW13" i="24"/>
  <c r="BQ13" i="24"/>
  <c r="BM13" i="24"/>
  <c r="BG13" i="24"/>
  <c r="BC13" i="24"/>
  <c r="AW13" i="24"/>
  <c r="AS13" i="24"/>
  <c r="AM13" i="24"/>
  <c r="AI13" i="24"/>
  <c r="AC13" i="24"/>
  <c r="Y13" i="24"/>
  <c r="S13" i="24"/>
  <c r="O13" i="24"/>
  <c r="I13" i="24"/>
  <c r="DO12" i="24"/>
  <c r="DE12" i="24"/>
  <c r="CU12" i="24"/>
  <c r="CK12" i="24"/>
  <c r="CA12" i="24"/>
  <c r="BQ12" i="24"/>
  <c r="BG12" i="24"/>
  <c r="AW12" i="24"/>
  <c r="AM12" i="24"/>
  <c r="AC12" i="24"/>
  <c r="S12" i="24"/>
  <c r="I12" i="24"/>
  <c r="DO11" i="24"/>
  <c r="DE11" i="24"/>
  <c r="CU11" i="24"/>
  <c r="CK11" i="24"/>
  <c r="CA11" i="24"/>
  <c r="BQ11" i="24"/>
  <c r="BG11" i="24"/>
  <c r="AW11" i="24"/>
  <c r="AM11" i="24"/>
  <c r="AC11" i="24"/>
  <c r="S11" i="24"/>
  <c r="O11" i="24"/>
  <c r="I11" i="24"/>
  <c r="DU10" i="24"/>
  <c r="DO10" i="24"/>
  <c r="DK10" i="24"/>
  <c r="DE10" i="24"/>
  <c r="DA10" i="24"/>
  <c r="CU10" i="24"/>
  <c r="CK10" i="24"/>
  <c r="CA10" i="24"/>
  <c r="BQ10" i="24"/>
  <c r="BG10" i="24"/>
  <c r="AW10" i="24"/>
  <c r="AM10" i="24"/>
  <c r="AC10" i="24"/>
  <c r="S10" i="24"/>
  <c r="O10" i="24"/>
  <c r="I10" i="24"/>
  <c r="CP36" i="23" l="1"/>
  <c r="V31" i="24"/>
  <c r="V30" i="24"/>
  <c r="V22" i="24"/>
  <c r="V23" i="24"/>
  <c r="V29" i="24"/>
  <c r="V27" i="24"/>
  <c r="V24" i="24"/>
  <c r="V28" i="24"/>
  <c r="V25" i="24"/>
  <c r="V26" i="24"/>
  <c r="N22" i="24"/>
  <c r="O22" i="24" s="1"/>
  <c r="CQ36" i="23" l="1"/>
  <c r="CP37" i="23"/>
  <c r="N23" i="24"/>
  <c r="O23" i="24" s="1"/>
  <c r="CQ37" i="23" l="1"/>
  <c r="CP38" i="23"/>
  <c r="N24" i="24"/>
  <c r="O24" i="24" s="1"/>
  <c r="BT21" i="23"/>
  <c r="BM41" i="23"/>
  <c r="BM42" i="23"/>
  <c r="BM43" i="23"/>
  <c r="AZ41" i="23"/>
  <c r="AZ42" i="23"/>
  <c r="BC41" i="23"/>
  <c r="BC42" i="23"/>
  <c r="DU60" i="23"/>
  <c r="DR60" i="23"/>
  <c r="DT60" i="23" s="1"/>
  <c r="DK60" i="23"/>
  <c r="DH60" i="23"/>
  <c r="DJ60" i="23" s="1"/>
  <c r="DA60" i="23"/>
  <c r="CX60" i="23"/>
  <c r="CZ60" i="23" s="1"/>
  <c r="CQ60" i="23"/>
  <c r="CN60" i="23"/>
  <c r="CP60" i="23" s="1"/>
  <c r="CG60" i="23"/>
  <c r="CD60" i="23"/>
  <c r="CF60" i="23" s="1"/>
  <c r="BW60" i="23"/>
  <c r="BT60" i="23"/>
  <c r="BV60" i="23" s="1"/>
  <c r="BM60" i="23"/>
  <c r="BJ60" i="23"/>
  <c r="BL60" i="23" s="1"/>
  <c r="BC60" i="23"/>
  <c r="AZ60" i="23"/>
  <c r="BB60" i="23" s="1"/>
  <c r="AS60" i="23"/>
  <c r="AP60" i="23"/>
  <c r="AR60" i="23" s="1"/>
  <c r="AI60" i="23"/>
  <c r="AF60" i="23"/>
  <c r="AH60" i="23" s="1"/>
  <c r="Y60" i="23"/>
  <c r="V60" i="23"/>
  <c r="X60" i="23" s="1"/>
  <c r="O60" i="23"/>
  <c r="L60" i="23"/>
  <c r="N60" i="23" s="1"/>
  <c r="DU59" i="23"/>
  <c r="DR59" i="23"/>
  <c r="DT59" i="23" s="1"/>
  <c r="DK59" i="23"/>
  <c r="DH59" i="23"/>
  <c r="DJ59" i="23" s="1"/>
  <c r="DA59" i="23"/>
  <c r="CX59" i="23"/>
  <c r="CZ59" i="23" s="1"/>
  <c r="CQ59" i="23"/>
  <c r="CN59" i="23"/>
  <c r="CP59" i="23" s="1"/>
  <c r="CG59" i="23"/>
  <c r="CD59" i="23"/>
  <c r="CF59" i="23" s="1"/>
  <c r="BW59" i="23"/>
  <c r="BT59" i="23"/>
  <c r="BV59" i="23" s="1"/>
  <c r="BM59" i="23"/>
  <c r="BJ59" i="23"/>
  <c r="BL59" i="23" s="1"/>
  <c r="BC59" i="23"/>
  <c r="AZ59" i="23"/>
  <c r="BB59" i="23" s="1"/>
  <c r="AS59" i="23"/>
  <c r="AP59" i="23"/>
  <c r="AR59" i="23" s="1"/>
  <c r="AI59" i="23"/>
  <c r="AF59" i="23"/>
  <c r="AH59" i="23" s="1"/>
  <c r="Y59" i="23"/>
  <c r="V59" i="23"/>
  <c r="X59" i="23" s="1"/>
  <c r="O59" i="23"/>
  <c r="L59" i="23"/>
  <c r="N59" i="23" s="1"/>
  <c r="DU58" i="23"/>
  <c r="DR58" i="23"/>
  <c r="DT58" i="23" s="1"/>
  <c r="DK58" i="23"/>
  <c r="DH58" i="23"/>
  <c r="DJ58" i="23" s="1"/>
  <c r="DA58" i="23"/>
  <c r="CX58" i="23"/>
  <c r="CZ58" i="23" s="1"/>
  <c r="CQ58" i="23"/>
  <c r="CP58" i="23"/>
  <c r="CN58" i="23"/>
  <c r="CG58" i="23"/>
  <c r="CD58" i="23"/>
  <c r="CF58" i="23" s="1"/>
  <c r="BW58" i="23"/>
  <c r="BT58" i="23"/>
  <c r="BV58" i="23" s="1"/>
  <c r="BM58" i="23"/>
  <c r="BJ58" i="23"/>
  <c r="BL58" i="23" s="1"/>
  <c r="BC58" i="23"/>
  <c r="AZ58" i="23"/>
  <c r="BB58" i="23" s="1"/>
  <c r="AS58" i="23"/>
  <c r="AP58" i="23"/>
  <c r="AR58" i="23" s="1"/>
  <c r="AI58" i="23"/>
  <c r="AF58" i="23"/>
  <c r="AH58" i="23" s="1"/>
  <c r="Y58" i="23"/>
  <c r="V58" i="23"/>
  <c r="X58" i="23" s="1"/>
  <c r="O58" i="23"/>
  <c r="L58" i="23"/>
  <c r="N58" i="23" s="1"/>
  <c r="DU57" i="23"/>
  <c r="DR57" i="23"/>
  <c r="DT57" i="23" s="1"/>
  <c r="DK57" i="23"/>
  <c r="DH57" i="23"/>
  <c r="DJ57" i="23" s="1"/>
  <c r="DA57" i="23"/>
  <c r="CX57" i="23"/>
  <c r="CZ57" i="23" s="1"/>
  <c r="CQ57" i="23"/>
  <c r="CN57" i="23"/>
  <c r="CP57" i="23" s="1"/>
  <c r="CG57" i="23"/>
  <c r="CD57" i="23"/>
  <c r="CF57" i="23" s="1"/>
  <c r="BW57" i="23"/>
  <c r="BT57" i="23"/>
  <c r="BV57" i="23" s="1"/>
  <c r="BM57" i="23"/>
  <c r="BJ57" i="23"/>
  <c r="BL57" i="23" s="1"/>
  <c r="BC57" i="23"/>
  <c r="AZ57" i="23"/>
  <c r="BB57" i="23" s="1"/>
  <c r="AS57" i="23"/>
  <c r="AP57" i="23"/>
  <c r="AR57" i="23" s="1"/>
  <c r="AI57" i="23"/>
  <c r="AF57" i="23"/>
  <c r="AH57" i="23" s="1"/>
  <c r="Y57" i="23"/>
  <c r="V57" i="23"/>
  <c r="X57" i="23" s="1"/>
  <c r="O57" i="23"/>
  <c r="L57" i="23"/>
  <c r="N57" i="23" s="1"/>
  <c r="DU56" i="23"/>
  <c r="DR56" i="23"/>
  <c r="DT56" i="23" s="1"/>
  <c r="DK56" i="23"/>
  <c r="DH56" i="23"/>
  <c r="DJ56" i="23" s="1"/>
  <c r="DA56" i="23"/>
  <c r="CX56" i="23"/>
  <c r="CZ56" i="23" s="1"/>
  <c r="CQ56" i="23"/>
  <c r="CN56" i="23"/>
  <c r="CP56" i="23" s="1"/>
  <c r="CG56" i="23"/>
  <c r="CD56" i="23"/>
  <c r="CF56" i="23" s="1"/>
  <c r="BW56" i="23"/>
  <c r="BT56" i="23"/>
  <c r="BV56" i="23" s="1"/>
  <c r="BM56" i="23"/>
  <c r="BJ56" i="23"/>
  <c r="BL56" i="23" s="1"/>
  <c r="BC56" i="23"/>
  <c r="AZ56" i="23"/>
  <c r="BB56" i="23" s="1"/>
  <c r="AS56" i="23"/>
  <c r="AP56" i="23"/>
  <c r="AR56" i="23" s="1"/>
  <c r="AI56" i="23"/>
  <c r="AF56" i="23"/>
  <c r="AH56" i="23" s="1"/>
  <c r="Y56" i="23"/>
  <c r="V56" i="23"/>
  <c r="X56" i="23" s="1"/>
  <c r="O56" i="23"/>
  <c r="L56" i="23"/>
  <c r="N56" i="23" s="1"/>
  <c r="DU55" i="23"/>
  <c r="DR55" i="23"/>
  <c r="DT55" i="23" s="1"/>
  <c r="DK55" i="23"/>
  <c r="DH55" i="23"/>
  <c r="DJ55" i="23" s="1"/>
  <c r="DA55" i="23"/>
  <c r="CX55" i="23"/>
  <c r="CZ55" i="23" s="1"/>
  <c r="CQ55" i="23"/>
  <c r="CN55" i="23"/>
  <c r="CP55" i="23" s="1"/>
  <c r="CG55" i="23"/>
  <c r="CD55" i="23"/>
  <c r="CF55" i="23" s="1"/>
  <c r="BW55" i="23"/>
  <c r="BT55" i="23"/>
  <c r="BV55" i="23" s="1"/>
  <c r="BM55" i="23"/>
  <c r="BJ55" i="23"/>
  <c r="BL55" i="23" s="1"/>
  <c r="BC55" i="23"/>
  <c r="AZ55" i="23"/>
  <c r="BB55" i="23" s="1"/>
  <c r="AS55" i="23"/>
  <c r="AP55" i="23"/>
  <c r="AR55" i="23" s="1"/>
  <c r="AI55" i="23"/>
  <c r="AF55" i="23"/>
  <c r="AH55" i="23" s="1"/>
  <c r="Y55" i="23"/>
  <c r="V55" i="23"/>
  <c r="X55" i="23" s="1"/>
  <c r="O55" i="23"/>
  <c r="L55" i="23"/>
  <c r="N55" i="23" s="1"/>
  <c r="DU54" i="23"/>
  <c r="DR54" i="23"/>
  <c r="DT54" i="23" s="1"/>
  <c r="DK54" i="23"/>
  <c r="DH54" i="23"/>
  <c r="DJ54" i="23" s="1"/>
  <c r="DA54" i="23"/>
  <c r="CX54" i="23"/>
  <c r="CZ54" i="23" s="1"/>
  <c r="CQ54" i="23"/>
  <c r="CN54" i="23"/>
  <c r="CP54" i="23" s="1"/>
  <c r="CG54" i="23"/>
  <c r="CD54" i="23"/>
  <c r="CF54" i="23" s="1"/>
  <c r="BW54" i="23"/>
  <c r="BT54" i="23"/>
  <c r="BV54" i="23" s="1"/>
  <c r="BM54" i="23"/>
  <c r="BJ54" i="23"/>
  <c r="BL54" i="23" s="1"/>
  <c r="BC54" i="23"/>
  <c r="AZ54" i="23"/>
  <c r="BB54" i="23" s="1"/>
  <c r="AS54" i="23"/>
  <c r="AP54" i="23"/>
  <c r="AR54" i="23" s="1"/>
  <c r="AI54" i="23"/>
  <c r="AF54" i="23"/>
  <c r="AH54" i="23" s="1"/>
  <c r="Y54" i="23"/>
  <c r="V54" i="23"/>
  <c r="X54" i="23" s="1"/>
  <c r="O54" i="23"/>
  <c r="L54" i="23"/>
  <c r="N54" i="23" s="1"/>
  <c r="DU53" i="23"/>
  <c r="DR53" i="23"/>
  <c r="DT53" i="23" s="1"/>
  <c r="DK53" i="23"/>
  <c r="DH53" i="23"/>
  <c r="DJ53" i="23" s="1"/>
  <c r="DA53" i="23"/>
  <c r="CX53" i="23"/>
  <c r="CZ53" i="23" s="1"/>
  <c r="CQ53" i="23"/>
  <c r="CN53" i="23"/>
  <c r="CP53" i="23" s="1"/>
  <c r="CG53" i="23"/>
  <c r="CD53" i="23"/>
  <c r="CF53" i="23" s="1"/>
  <c r="BW53" i="23"/>
  <c r="BT53" i="23"/>
  <c r="BV53" i="23" s="1"/>
  <c r="BM53" i="23"/>
  <c r="BJ53" i="23"/>
  <c r="BL53" i="23" s="1"/>
  <c r="BC53" i="23"/>
  <c r="AZ53" i="23"/>
  <c r="BB53" i="23" s="1"/>
  <c r="AS53" i="23"/>
  <c r="AP53" i="23"/>
  <c r="AR53" i="23" s="1"/>
  <c r="AI53" i="23"/>
  <c r="AF53" i="23"/>
  <c r="AH53" i="23" s="1"/>
  <c r="Y53" i="23"/>
  <c r="V53" i="23"/>
  <c r="X53" i="23" s="1"/>
  <c r="O53" i="23"/>
  <c r="L53" i="23"/>
  <c r="N53" i="23" s="1"/>
  <c r="DU52" i="23"/>
  <c r="DR52" i="23"/>
  <c r="DT52" i="23" s="1"/>
  <c r="DK52" i="23"/>
  <c r="DH52" i="23"/>
  <c r="DJ52" i="23" s="1"/>
  <c r="DA52" i="23"/>
  <c r="CX52" i="23"/>
  <c r="CZ52" i="23" s="1"/>
  <c r="CQ52" i="23"/>
  <c r="CN52" i="23"/>
  <c r="CP52" i="23" s="1"/>
  <c r="CG52" i="23"/>
  <c r="CD52" i="23"/>
  <c r="CF52" i="23" s="1"/>
  <c r="BW52" i="23"/>
  <c r="BT52" i="23"/>
  <c r="BV52" i="23" s="1"/>
  <c r="BM52" i="23"/>
  <c r="BJ52" i="23"/>
  <c r="BL52" i="23" s="1"/>
  <c r="BC52" i="23"/>
  <c r="AZ52" i="23"/>
  <c r="BB52" i="23" s="1"/>
  <c r="AS52" i="23"/>
  <c r="AP52" i="23"/>
  <c r="AR52" i="23" s="1"/>
  <c r="AI52" i="23"/>
  <c r="AF52" i="23"/>
  <c r="AH52" i="23" s="1"/>
  <c r="Y52" i="23"/>
  <c r="V52" i="23"/>
  <c r="X52" i="23" s="1"/>
  <c r="O52" i="23"/>
  <c r="L52" i="23"/>
  <c r="N52" i="23" s="1"/>
  <c r="DU51" i="23"/>
  <c r="DR51" i="23"/>
  <c r="DT51" i="23" s="1"/>
  <c r="DK51" i="23"/>
  <c r="DH51" i="23"/>
  <c r="DJ51" i="23" s="1"/>
  <c r="DA51" i="23"/>
  <c r="CX51" i="23"/>
  <c r="CZ51" i="23" s="1"/>
  <c r="CQ51" i="23"/>
  <c r="CN51" i="23"/>
  <c r="CP51" i="23" s="1"/>
  <c r="CG51" i="23"/>
  <c r="CD51" i="23"/>
  <c r="CF51" i="23" s="1"/>
  <c r="BW51" i="23"/>
  <c r="BT51" i="23"/>
  <c r="BV51" i="23" s="1"/>
  <c r="BM51" i="23"/>
  <c r="BJ51" i="23"/>
  <c r="BL51" i="23" s="1"/>
  <c r="BC51" i="23"/>
  <c r="AZ51" i="23"/>
  <c r="BB51" i="23" s="1"/>
  <c r="AS51" i="23"/>
  <c r="AP51" i="23"/>
  <c r="AR51" i="23" s="1"/>
  <c r="AI51" i="23"/>
  <c r="AF51" i="23"/>
  <c r="AH51" i="23" s="1"/>
  <c r="Y51" i="23"/>
  <c r="V51" i="23"/>
  <c r="X51" i="23" s="1"/>
  <c r="O51" i="23"/>
  <c r="L51" i="23"/>
  <c r="N51" i="23" s="1"/>
  <c r="DU50" i="23"/>
  <c r="DR50" i="23"/>
  <c r="DT50" i="23" s="1"/>
  <c r="DK50" i="23"/>
  <c r="DH50" i="23"/>
  <c r="DJ50" i="23" s="1"/>
  <c r="DA50" i="23"/>
  <c r="CX50" i="23"/>
  <c r="CZ50" i="23" s="1"/>
  <c r="CQ50" i="23"/>
  <c r="CN50" i="23"/>
  <c r="CP50" i="23" s="1"/>
  <c r="CG50" i="23"/>
  <c r="CD50" i="23"/>
  <c r="CF50" i="23" s="1"/>
  <c r="BW50" i="23"/>
  <c r="BT50" i="23"/>
  <c r="BV50" i="23" s="1"/>
  <c r="BM50" i="23"/>
  <c r="BJ50" i="23"/>
  <c r="BL50" i="23" s="1"/>
  <c r="BC50" i="23"/>
  <c r="AZ50" i="23"/>
  <c r="BB50" i="23" s="1"/>
  <c r="AS50" i="23"/>
  <c r="AP50" i="23"/>
  <c r="AR50" i="23" s="1"/>
  <c r="AI50" i="23"/>
  <c r="AF50" i="23"/>
  <c r="AH50" i="23" s="1"/>
  <c r="Y50" i="23"/>
  <c r="V50" i="23"/>
  <c r="X50" i="23" s="1"/>
  <c r="O50" i="23"/>
  <c r="L50" i="23"/>
  <c r="N50" i="23" s="1"/>
  <c r="DU49" i="23"/>
  <c r="DR49" i="23"/>
  <c r="DT49" i="23" s="1"/>
  <c r="DK49" i="23"/>
  <c r="DH49" i="23"/>
  <c r="DJ49" i="23" s="1"/>
  <c r="DA49" i="23"/>
  <c r="CX49" i="23"/>
  <c r="CZ49" i="23" s="1"/>
  <c r="CQ49" i="23"/>
  <c r="CN49" i="23"/>
  <c r="CP49" i="23" s="1"/>
  <c r="CG49" i="23"/>
  <c r="CD49" i="23"/>
  <c r="CF49" i="23" s="1"/>
  <c r="BW49" i="23"/>
  <c r="BT49" i="23"/>
  <c r="BV49" i="23" s="1"/>
  <c r="BM49" i="23"/>
  <c r="BJ49" i="23"/>
  <c r="BL49" i="23" s="1"/>
  <c r="BC49" i="23"/>
  <c r="AZ49" i="23"/>
  <c r="BB49" i="23" s="1"/>
  <c r="AS49" i="23"/>
  <c r="AP49" i="23"/>
  <c r="AR49" i="23" s="1"/>
  <c r="AI49" i="23"/>
  <c r="AF49" i="23"/>
  <c r="AH49" i="23" s="1"/>
  <c r="Y49" i="23"/>
  <c r="V49" i="23"/>
  <c r="X49" i="23" s="1"/>
  <c r="O49" i="23"/>
  <c r="L49" i="23"/>
  <c r="N49" i="23" s="1"/>
  <c r="DU48" i="23"/>
  <c r="DR48" i="23"/>
  <c r="DT48" i="23" s="1"/>
  <c r="DK48" i="23"/>
  <c r="DH48" i="23"/>
  <c r="DJ48" i="23" s="1"/>
  <c r="DA48" i="23"/>
  <c r="CX48" i="23"/>
  <c r="CZ48" i="23" s="1"/>
  <c r="CQ48" i="23"/>
  <c r="CN48" i="23"/>
  <c r="CP48" i="23" s="1"/>
  <c r="CG48" i="23"/>
  <c r="CD48" i="23"/>
  <c r="CF48" i="23" s="1"/>
  <c r="BW48" i="23"/>
  <c r="BT48" i="23"/>
  <c r="BV48" i="23" s="1"/>
  <c r="BM48" i="23"/>
  <c r="BJ48" i="23"/>
  <c r="BL48" i="23" s="1"/>
  <c r="BC48" i="23"/>
  <c r="AZ48" i="23"/>
  <c r="BB48" i="23" s="1"/>
  <c r="AS48" i="23"/>
  <c r="AP48" i="23"/>
  <c r="AR48" i="23" s="1"/>
  <c r="AI48" i="23"/>
  <c r="AF48" i="23"/>
  <c r="AH48" i="23" s="1"/>
  <c r="Y48" i="23"/>
  <c r="V48" i="23"/>
  <c r="X48" i="23" s="1"/>
  <c r="O48" i="23"/>
  <c r="L48" i="23"/>
  <c r="N48" i="23" s="1"/>
  <c r="DU47" i="23"/>
  <c r="DR47" i="23"/>
  <c r="DT47" i="23" s="1"/>
  <c r="DK47" i="23"/>
  <c r="DH47" i="23"/>
  <c r="DJ47" i="23" s="1"/>
  <c r="DA47" i="23"/>
  <c r="CX47" i="23"/>
  <c r="CZ47" i="23" s="1"/>
  <c r="CQ47" i="23"/>
  <c r="CN47" i="23"/>
  <c r="CP47" i="23" s="1"/>
  <c r="CG47" i="23"/>
  <c r="CD47" i="23"/>
  <c r="CF47" i="23" s="1"/>
  <c r="BW47" i="23"/>
  <c r="BT47" i="23"/>
  <c r="BV47" i="23" s="1"/>
  <c r="BM47" i="23"/>
  <c r="BJ47" i="23"/>
  <c r="BL47" i="23" s="1"/>
  <c r="BC47" i="23"/>
  <c r="AZ47" i="23"/>
  <c r="BB47" i="23" s="1"/>
  <c r="AS47" i="23"/>
  <c r="AP47" i="23"/>
  <c r="AR47" i="23" s="1"/>
  <c r="AI47" i="23"/>
  <c r="AF47" i="23"/>
  <c r="AH47" i="23" s="1"/>
  <c r="Y47" i="23"/>
  <c r="V47" i="23"/>
  <c r="X47" i="23" s="1"/>
  <c r="O47" i="23"/>
  <c r="L47" i="23"/>
  <c r="N47" i="23" s="1"/>
  <c r="DU46" i="23"/>
  <c r="DR46" i="23"/>
  <c r="DT46" i="23" s="1"/>
  <c r="DK46" i="23"/>
  <c r="DH46" i="23"/>
  <c r="DJ46" i="23" s="1"/>
  <c r="DA46" i="23"/>
  <c r="CX46" i="23"/>
  <c r="CZ46" i="23" s="1"/>
  <c r="CQ46" i="23"/>
  <c r="CN46" i="23"/>
  <c r="CP46" i="23" s="1"/>
  <c r="CG46" i="23"/>
  <c r="CD46" i="23"/>
  <c r="CF46" i="23" s="1"/>
  <c r="BW46" i="23"/>
  <c r="BT46" i="23"/>
  <c r="BV46" i="23" s="1"/>
  <c r="BM46" i="23"/>
  <c r="BJ46" i="23"/>
  <c r="BL46" i="23" s="1"/>
  <c r="BC46" i="23"/>
  <c r="AZ46" i="23"/>
  <c r="BB46" i="23" s="1"/>
  <c r="AS46" i="23"/>
  <c r="AP46" i="23"/>
  <c r="AR46" i="23" s="1"/>
  <c r="AI46" i="23"/>
  <c r="AF46" i="23"/>
  <c r="AH46" i="23" s="1"/>
  <c r="Y46" i="23"/>
  <c r="V46" i="23"/>
  <c r="X46" i="23" s="1"/>
  <c r="O46" i="23"/>
  <c r="L46" i="23"/>
  <c r="N46" i="23" s="1"/>
  <c r="DU45" i="23"/>
  <c r="DR45" i="23"/>
  <c r="DT45" i="23" s="1"/>
  <c r="DK45" i="23"/>
  <c r="DH45" i="23"/>
  <c r="DJ45" i="23" s="1"/>
  <c r="DA45" i="23"/>
  <c r="CX45" i="23"/>
  <c r="CZ45" i="23" s="1"/>
  <c r="CQ45" i="23"/>
  <c r="CN45" i="23"/>
  <c r="CP45" i="23" s="1"/>
  <c r="CG45" i="23"/>
  <c r="CD45" i="23"/>
  <c r="CF45" i="23" s="1"/>
  <c r="BW45" i="23"/>
  <c r="BT45" i="23"/>
  <c r="BV45" i="23" s="1"/>
  <c r="BM45" i="23"/>
  <c r="BL45" i="23"/>
  <c r="BC45" i="23"/>
  <c r="AZ45" i="23"/>
  <c r="BB45" i="23" s="1"/>
  <c r="AS45" i="23"/>
  <c r="AP45" i="23"/>
  <c r="AR45" i="23" s="1"/>
  <c r="AI45" i="23"/>
  <c r="AF45" i="23"/>
  <c r="AH45" i="23" s="1"/>
  <c r="Y45" i="23"/>
  <c r="V45" i="23"/>
  <c r="X45" i="23" s="1"/>
  <c r="O45" i="23"/>
  <c r="L45" i="23"/>
  <c r="N45" i="23" s="1"/>
  <c r="DU44" i="23"/>
  <c r="DR44" i="23"/>
  <c r="DT44" i="23" s="1"/>
  <c r="DK44" i="23"/>
  <c r="DJ44" i="23"/>
  <c r="DH44" i="23"/>
  <c r="DA44" i="23"/>
  <c r="CX44" i="23"/>
  <c r="CZ44" i="23" s="1"/>
  <c r="CQ44" i="23"/>
  <c r="CN44" i="23"/>
  <c r="CP44" i="23" s="1"/>
  <c r="CG44" i="23"/>
  <c r="CD44" i="23"/>
  <c r="CF44" i="23" s="1"/>
  <c r="BW44" i="23"/>
  <c r="BT44" i="23"/>
  <c r="BV44" i="23" s="1"/>
  <c r="BM44" i="23"/>
  <c r="BL44" i="23"/>
  <c r="BC44" i="23"/>
  <c r="AZ44" i="23"/>
  <c r="BB44" i="23" s="1"/>
  <c r="AS44" i="23"/>
  <c r="AP44" i="23"/>
  <c r="AR44" i="23" s="1"/>
  <c r="AI44" i="23"/>
  <c r="AF44" i="23"/>
  <c r="AH44" i="23" s="1"/>
  <c r="Y44" i="23"/>
  <c r="V44" i="23"/>
  <c r="X44" i="23" s="1"/>
  <c r="O44" i="23"/>
  <c r="L44" i="23"/>
  <c r="N44" i="23" s="1"/>
  <c r="DU43" i="23"/>
  <c r="DR43" i="23"/>
  <c r="DT43" i="23" s="1"/>
  <c r="DK43" i="23"/>
  <c r="DH43" i="23"/>
  <c r="DJ43" i="23" s="1"/>
  <c r="DA43" i="23"/>
  <c r="CX43" i="23"/>
  <c r="CZ43" i="23" s="1"/>
  <c r="CQ43" i="23"/>
  <c r="CN43" i="23"/>
  <c r="CP43" i="23" s="1"/>
  <c r="CG43" i="23"/>
  <c r="CD43" i="23"/>
  <c r="CF43" i="23" s="1"/>
  <c r="BV43" i="23"/>
  <c r="AZ43" i="23"/>
  <c r="AP43" i="23"/>
  <c r="L43" i="23"/>
  <c r="DU42" i="23"/>
  <c r="DR42" i="23"/>
  <c r="DT42" i="23" s="1"/>
  <c r="DK42" i="23"/>
  <c r="DH42" i="23"/>
  <c r="DJ42" i="23" s="1"/>
  <c r="DA42" i="23"/>
  <c r="CX42" i="23"/>
  <c r="CZ42" i="23" s="1"/>
  <c r="CG42" i="23"/>
  <c r="CD42" i="23"/>
  <c r="CF42" i="23" s="1"/>
  <c r="BW42" i="23"/>
  <c r="BT42" i="23"/>
  <c r="BV42" i="23" s="1"/>
  <c r="DU41" i="23"/>
  <c r="DR41" i="23"/>
  <c r="DT41" i="23" s="1"/>
  <c r="DK41" i="23"/>
  <c r="DH41" i="23"/>
  <c r="DJ41" i="23" s="1"/>
  <c r="DA41" i="23"/>
  <c r="CX41" i="23"/>
  <c r="CZ41" i="23" s="1"/>
  <c r="CF41" i="23"/>
  <c r="BV41" i="23"/>
  <c r="DU40" i="23"/>
  <c r="DR40" i="23"/>
  <c r="DT40" i="23" s="1"/>
  <c r="DK40" i="23"/>
  <c r="DH40" i="23"/>
  <c r="DJ40" i="23" s="1"/>
  <c r="DA40" i="23"/>
  <c r="CX40" i="23"/>
  <c r="CZ40" i="23" s="1"/>
  <c r="DU39" i="23"/>
  <c r="DT39" i="23"/>
  <c r="DR39" i="23"/>
  <c r="DK39" i="23"/>
  <c r="DH39" i="23"/>
  <c r="DJ39" i="23" s="1"/>
  <c r="DA39" i="23"/>
  <c r="CX39" i="23"/>
  <c r="CZ39" i="23" s="1"/>
  <c r="DU38" i="23"/>
  <c r="DR38" i="23"/>
  <c r="DT38" i="23" s="1"/>
  <c r="DK38" i="23"/>
  <c r="DH38" i="23"/>
  <c r="DJ38" i="23" s="1"/>
  <c r="DA38" i="23"/>
  <c r="CX38" i="23"/>
  <c r="CZ38" i="23" s="1"/>
  <c r="L38" i="23"/>
  <c r="DU37" i="23"/>
  <c r="DR37" i="23"/>
  <c r="DT37" i="23" s="1"/>
  <c r="DK37" i="23"/>
  <c r="DH37" i="23"/>
  <c r="DJ37" i="23" s="1"/>
  <c r="DA37" i="23"/>
  <c r="CX37" i="23"/>
  <c r="CZ37" i="23" s="1"/>
  <c r="AP37" i="23"/>
  <c r="L37" i="23"/>
  <c r="DU36" i="23"/>
  <c r="DR36" i="23"/>
  <c r="DT36" i="23" s="1"/>
  <c r="DK36" i="23"/>
  <c r="DH36" i="23"/>
  <c r="DJ36" i="23" s="1"/>
  <c r="DA36" i="23"/>
  <c r="CX36" i="23"/>
  <c r="CZ36" i="23" s="1"/>
  <c r="AP36" i="23"/>
  <c r="L36" i="23"/>
  <c r="DU35" i="23"/>
  <c r="DR35" i="23"/>
  <c r="DT35" i="23" s="1"/>
  <c r="DK35" i="23"/>
  <c r="DH35" i="23"/>
  <c r="DJ35" i="23" s="1"/>
  <c r="DA35" i="23"/>
  <c r="CX35" i="23"/>
  <c r="CZ35" i="23" s="1"/>
  <c r="AP35" i="23"/>
  <c r="AF35" i="23"/>
  <c r="L35" i="23"/>
  <c r="DU34" i="23"/>
  <c r="DR34" i="23"/>
  <c r="DT34" i="23" s="1"/>
  <c r="DK34" i="23"/>
  <c r="DH34" i="23"/>
  <c r="DJ34" i="23" s="1"/>
  <c r="DA34" i="23"/>
  <c r="CX34" i="23"/>
  <c r="CZ34" i="23" s="1"/>
  <c r="AP34" i="23"/>
  <c r="AF34" i="23"/>
  <c r="V34" i="23"/>
  <c r="L34" i="23"/>
  <c r="DU33" i="23"/>
  <c r="DR33" i="23"/>
  <c r="DT33" i="23" s="1"/>
  <c r="DK33" i="23"/>
  <c r="DH33" i="23"/>
  <c r="DJ33" i="23" s="1"/>
  <c r="DA33" i="23"/>
  <c r="CX33" i="23"/>
  <c r="CZ33" i="23" s="1"/>
  <c r="BJ33" i="23"/>
  <c r="AZ33" i="23"/>
  <c r="AP33" i="23"/>
  <c r="AF33" i="23"/>
  <c r="V33" i="23"/>
  <c r="L33" i="23"/>
  <c r="DU32" i="23"/>
  <c r="DR32" i="23"/>
  <c r="DT32" i="23" s="1"/>
  <c r="DK32" i="23"/>
  <c r="DH32" i="23"/>
  <c r="DJ32" i="23" s="1"/>
  <c r="DA32" i="23"/>
  <c r="CX32" i="23"/>
  <c r="CZ32" i="23" s="1"/>
  <c r="BJ32" i="23"/>
  <c r="AZ32" i="23"/>
  <c r="AP32" i="23"/>
  <c r="AF32" i="23"/>
  <c r="V32" i="23"/>
  <c r="L32" i="23"/>
  <c r="DU31" i="23"/>
  <c r="DR31" i="23"/>
  <c r="DT31" i="23" s="1"/>
  <c r="DK31" i="23"/>
  <c r="DJ31" i="23"/>
  <c r="DH31" i="23"/>
  <c r="DA31" i="23"/>
  <c r="CX31" i="23"/>
  <c r="CZ31" i="23" s="1"/>
  <c r="BJ31" i="23"/>
  <c r="AZ31" i="23"/>
  <c r="AP31" i="23"/>
  <c r="AF31" i="23"/>
  <c r="V31" i="23"/>
  <c r="L31" i="23"/>
  <c r="DU30" i="23"/>
  <c r="DR30" i="23"/>
  <c r="DT30" i="23" s="1"/>
  <c r="DK30" i="23"/>
  <c r="DH30" i="23"/>
  <c r="DJ30" i="23" s="1"/>
  <c r="DA30" i="23"/>
  <c r="CX30" i="23"/>
  <c r="CZ30" i="23" s="1"/>
  <c r="BJ30" i="23"/>
  <c r="AZ30" i="23"/>
  <c r="AP30" i="23"/>
  <c r="AF30" i="23"/>
  <c r="V30" i="23"/>
  <c r="L30" i="23"/>
  <c r="DU29" i="23"/>
  <c r="DR29" i="23"/>
  <c r="DT29" i="23" s="1"/>
  <c r="DK29" i="23"/>
  <c r="DH29" i="23"/>
  <c r="DJ29" i="23" s="1"/>
  <c r="DA29" i="23"/>
  <c r="CX29" i="23"/>
  <c r="CZ29" i="23" s="1"/>
  <c r="BJ29" i="23"/>
  <c r="AZ29" i="23"/>
  <c r="AP29" i="23"/>
  <c r="AF29" i="23"/>
  <c r="V29" i="23"/>
  <c r="L29" i="23"/>
  <c r="DU28" i="23"/>
  <c r="DR28" i="23"/>
  <c r="DT28" i="23" s="1"/>
  <c r="DK28" i="23"/>
  <c r="DH28" i="23"/>
  <c r="DJ28" i="23" s="1"/>
  <c r="DA28" i="23"/>
  <c r="CX28" i="23"/>
  <c r="CZ28" i="23" s="1"/>
  <c r="BJ28" i="23"/>
  <c r="AZ28" i="23"/>
  <c r="AP28" i="23"/>
  <c r="AF28" i="23"/>
  <c r="V28" i="23"/>
  <c r="L28" i="23"/>
  <c r="DU27" i="23"/>
  <c r="DR27" i="23"/>
  <c r="DT27" i="23" s="1"/>
  <c r="DK27" i="23"/>
  <c r="DH27" i="23"/>
  <c r="DJ27" i="23" s="1"/>
  <c r="DA27" i="23"/>
  <c r="CX27" i="23"/>
  <c r="CZ27" i="23" s="1"/>
  <c r="BJ27" i="23"/>
  <c r="AZ27" i="23"/>
  <c r="AP27" i="23"/>
  <c r="AF27" i="23"/>
  <c r="V27" i="23"/>
  <c r="L27" i="23"/>
  <c r="DU26" i="23"/>
  <c r="DT26" i="23"/>
  <c r="DR26" i="23"/>
  <c r="DK26" i="23"/>
  <c r="DH26" i="23"/>
  <c r="DJ26" i="23" s="1"/>
  <c r="DA26" i="23"/>
  <c r="CX26" i="23"/>
  <c r="CZ26" i="23" s="1"/>
  <c r="BJ26" i="23"/>
  <c r="AZ26" i="23"/>
  <c r="AP26" i="23"/>
  <c r="AF26" i="23"/>
  <c r="V26" i="23"/>
  <c r="L26" i="23"/>
  <c r="DU25" i="23"/>
  <c r="DR25" i="23"/>
  <c r="DT25" i="23" s="1"/>
  <c r="DK25" i="23"/>
  <c r="DH25" i="23"/>
  <c r="DJ25" i="23" s="1"/>
  <c r="DA25" i="23"/>
  <c r="CX25" i="23"/>
  <c r="CZ25" i="23" s="1"/>
  <c r="BT25" i="23"/>
  <c r="BJ25" i="23"/>
  <c r="AZ25" i="23"/>
  <c r="AP25" i="23"/>
  <c r="AF25" i="23"/>
  <c r="V25" i="23"/>
  <c r="L25" i="23"/>
  <c r="DU24" i="23"/>
  <c r="DR24" i="23"/>
  <c r="DT24" i="23" s="1"/>
  <c r="DK24" i="23"/>
  <c r="DH24" i="23"/>
  <c r="DJ24" i="23" s="1"/>
  <c r="DA24" i="23"/>
  <c r="CX24" i="23"/>
  <c r="CZ24" i="23" s="1"/>
  <c r="BT24" i="23"/>
  <c r="BJ24" i="23"/>
  <c r="AZ24" i="23"/>
  <c r="AP24" i="23"/>
  <c r="AF24" i="23"/>
  <c r="V24" i="23"/>
  <c r="L24" i="23"/>
  <c r="DU23" i="23"/>
  <c r="DR23" i="23"/>
  <c r="DT23" i="23" s="1"/>
  <c r="DK23" i="23"/>
  <c r="DH23" i="23"/>
  <c r="DJ23" i="23" s="1"/>
  <c r="DA23" i="23"/>
  <c r="CX23" i="23"/>
  <c r="CZ23" i="23" s="1"/>
  <c r="BT23" i="23"/>
  <c r="BJ23" i="23"/>
  <c r="AZ23" i="23"/>
  <c r="AP23" i="23"/>
  <c r="AF23" i="23"/>
  <c r="V23" i="23"/>
  <c r="L23" i="23"/>
  <c r="DU22" i="23"/>
  <c r="DR22" i="23"/>
  <c r="DT22" i="23" s="1"/>
  <c r="DK22" i="23"/>
  <c r="DH22" i="23"/>
  <c r="DJ22" i="23" s="1"/>
  <c r="DA22" i="23"/>
  <c r="CX22" i="23"/>
  <c r="CZ22" i="23" s="1"/>
  <c r="BT22" i="23"/>
  <c r="BJ22" i="23"/>
  <c r="AZ22" i="23"/>
  <c r="AP22" i="23"/>
  <c r="AF22" i="23"/>
  <c r="V22" i="23"/>
  <c r="L22" i="23"/>
  <c r="DU21" i="23"/>
  <c r="DR21" i="23"/>
  <c r="DT21" i="23" s="1"/>
  <c r="DK21" i="23"/>
  <c r="DH21" i="23"/>
  <c r="DJ21" i="23" s="1"/>
  <c r="DA21" i="23"/>
  <c r="CX21" i="23"/>
  <c r="CZ21" i="23" s="1"/>
  <c r="BJ21" i="23"/>
  <c r="AZ21" i="23"/>
  <c r="AP21" i="23"/>
  <c r="AF21" i="23"/>
  <c r="V21" i="23"/>
  <c r="DT20" i="23"/>
  <c r="DJ20" i="23"/>
  <c r="CZ20" i="23"/>
  <c r="DT19" i="23"/>
  <c r="DJ19" i="23"/>
  <c r="CZ19" i="23"/>
  <c r="CP19" i="23"/>
  <c r="CF19" i="23"/>
  <c r="BV19" i="23"/>
  <c r="BL19" i="23"/>
  <c r="BB19" i="23"/>
  <c r="AR19" i="23"/>
  <c r="AH19" i="23"/>
  <c r="X19" i="23"/>
  <c r="DT18" i="23"/>
  <c r="DJ18" i="23"/>
  <c r="CZ18" i="23"/>
  <c r="CP18" i="23"/>
  <c r="CF18" i="23"/>
  <c r="BV18" i="23"/>
  <c r="BL18" i="23"/>
  <c r="BB18" i="23"/>
  <c r="AR18" i="23"/>
  <c r="AH18" i="23"/>
  <c r="X18" i="23"/>
  <c r="N18" i="23"/>
  <c r="N19" i="23" s="1"/>
  <c r="N20" i="23" s="1"/>
  <c r="DU14" i="23"/>
  <c r="DO14" i="23"/>
  <c r="DK14" i="23"/>
  <c r="DE14" i="23"/>
  <c r="DA14" i="23"/>
  <c r="CU14" i="23"/>
  <c r="CQ14" i="23"/>
  <c r="CK14" i="23"/>
  <c r="CG14" i="23"/>
  <c r="CA14" i="23"/>
  <c r="BW14" i="23"/>
  <c r="BQ14" i="23"/>
  <c r="BM14" i="23"/>
  <c r="BG14" i="23"/>
  <c r="BC14" i="23"/>
  <c r="AW14" i="23"/>
  <c r="AS14" i="23"/>
  <c r="AM14" i="23"/>
  <c r="AI14" i="23"/>
  <c r="AC14" i="23"/>
  <c r="Y14" i="23"/>
  <c r="S14" i="23"/>
  <c r="O14" i="23"/>
  <c r="I14" i="23"/>
  <c r="DU13" i="23"/>
  <c r="DO13" i="23"/>
  <c r="DK13" i="23"/>
  <c r="DE13" i="23"/>
  <c r="DA13" i="23"/>
  <c r="CU13" i="23"/>
  <c r="CQ13" i="23"/>
  <c r="CK13" i="23"/>
  <c r="CG13" i="23"/>
  <c r="CA13" i="23"/>
  <c r="BW13" i="23"/>
  <c r="BQ13" i="23"/>
  <c r="BM13" i="23"/>
  <c r="BG13" i="23"/>
  <c r="BC13" i="23"/>
  <c r="AW13" i="23"/>
  <c r="AS13" i="23"/>
  <c r="AM13" i="23"/>
  <c r="AI13" i="23"/>
  <c r="AC13" i="23"/>
  <c r="Y13" i="23"/>
  <c r="S13" i="23"/>
  <c r="O13" i="23"/>
  <c r="I13" i="23"/>
  <c r="DO12" i="23"/>
  <c r="DE12" i="23"/>
  <c r="CU12" i="23"/>
  <c r="CK12" i="23"/>
  <c r="CA12" i="23"/>
  <c r="BQ12" i="23"/>
  <c r="BG12" i="23"/>
  <c r="AW12" i="23"/>
  <c r="AM12" i="23"/>
  <c r="AC12" i="23"/>
  <c r="S12" i="23"/>
  <c r="I12" i="23"/>
  <c r="DO11" i="23"/>
  <c r="DE11" i="23"/>
  <c r="CU11" i="23"/>
  <c r="CK11" i="23"/>
  <c r="CA11" i="23"/>
  <c r="BQ11" i="23"/>
  <c r="BG11" i="23"/>
  <c r="AW11" i="23"/>
  <c r="AM11" i="23"/>
  <c r="AC11" i="23"/>
  <c r="S11" i="23"/>
  <c r="I11" i="23"/>
  <c r="DU10" i="23"/>
  <c r="DO10" i="23"/>
  <c r="DK10" i="23"/>
  <c r="DE10" i="23"/>
  <c r="DA10" i="23"/>
  <c r="CU10" i="23"/>
  <c r="CK10" i="23"/>
  <c r="CA10" i="23"/>
  <c r="BQ10" i="23"/>
  <c r="BG10" i="23"/>
  <c r="AW10" i="23"/>
  <c r="AM10" i="23"/>
  <c r="AP42" i="23" s="1"/>
  <c r="AC10" i="23"/>
  <c r="S10" i="23"/>
  <c r="O10" i="23"/>
  <c r="O11" i="23" s="1"/>
  <c r="I10" i="23"/>
  <c r="CQ38" i="23" l="1"/>
  <c r="CP39" i="23"/>
  <c r="N25" i="24"/>
  <c r="O25" i="24" s="1"/>
  <c r="X21" i="24"/>
  <c r="Y10" i="24"/>
  <c r="N21" i="23"/>
  <c r="O21" i="23" s="1"/>
  <c r="CQ39" i="23" l="1"/>
  <c r="CP40" i="23"/>
  <c r="CQ40" i="23" s="1"/>
  <c r="X22" i="24"/>
  <c r="N26" i="24"/>
  <c r="O26" i="24" s="1"/>
  <c r="N22" i="23"/>
  <c r="Y22" i="24" l="1"/>
  <c r="X23" i="24"/>
  <c r="Y23" i="24" s="1"/>
  <c r="N27" i="24"/>
  <c r="O27" i="24" s="1"/>
  <c r="O22" i="23"/>
  <c r="N23" i="23"/>
  <c r="CP41" i="23" l="1"/>
  <c r="N24" i="23"/>
  <c r="O24" i="23" s="1"/>
  <c r="O23" i="23"/>
  <c r="N28" i="24"/>
  <c r="O28" i="24" s="1"/>
  <c r="X24" i="24"/>
  <c r="Y24" i="24" s="1"/>
  <c r="CP42" i="23" l="1"/>
  <c r="N25" i="23"/>
  <c r="O25" i="23" s="1"/>
  <c r="N29" i="24"/>
  <c r="O29" i="24" s="1"/>
  <c r="X25" i="24"/>
  <c r="Y25" i="24" s="1"/>
  <c r="N26" i="23" l="1"/>
  <c r="N30" i="24"/>
  <c r="O30" i="24" s="1"/>
  <c r="X26" i="24"/>
  <c r="Y26" i="24" s="1"/>
  <c r="N27" i="23"/>
  <c r="O26" i="23"/>
  <c r="N31" i="24" l="1"/>
  <c r="O31" i="24" s="1"/>
  <c r="X27" i="24"/>
  <c r="Y27" i="24" s="1"/>
  <c r="N28" i="23"/>
  <c r="O27" i="23"/>
  <c r="N32" i="24" l="1"/>
  <c r="O32" i="24" s="1"/>
  <c r="X28" i="24"/>
  <c r="Y28" i="24" s="1"/>
  <c r="N29" i="23"/>
  <c r="O28" i="23"/>
  <c r="N33" i="24" l="1"/>
  <c r="O33" i="24" s="1"/>
  <c r="X29" i="24"/>
  <c r="Y29" i="24" s="1"/>
  <c r="N30" i="23"/>
  <c r="O29" i="23"/>
  <c r="N34" i="24" l="1"/>
  <c r="O34" i="24" s="1"/>
  <c r="X30" i="24"/>
  <c r="Y30" i="24" s="1"/>
  <c r="N31" i="23"/>
  <c r="O30" i="23"/>
  <c r="N35" i="24" l="1"/>
  <c r="O35" i="24" s="1"/>
  <c r="X31" i="24"/>
  <c r="Y31" i="24" s="1"/>
  <c r="N32" i="23"/>
  <c r="O31" i="23"/>
  <c r="N36" i="24" l="1"/>
  <c r="O36" i="24" s="1"/>
  <c r="X32" i="24"/>
  <c r="Y32" i="24" s="1"/>
  <c r="N33" i="23"/>
  <c r="O32" i="23"/>
  <c r="N37" i="24" l="1"/>
  <c r="O37" i="24" s="1"/>
  <c r="X33" i="24"/>
  <c r="Y33" i="24" s="1"/>
  <c r="N34" i="23"/>
  <c r="O33" i="23"/>
  <c r="O38" i="24" l="1"/>
  <c r="X34" i="24"/>
  <c r="Y34" i="24" s="1"/>
  <c r="N35" i="23"/>
  <c r="O34" i="23"/>
  <c r="N39" i="24" l="1"/>
  <c r="O35" i="23"/>
  <c r="N36" i="23"/>
  <c r="N40" i="24" l="1"/>
  <c r="N37" i="23"/>
  <c r="O36" i="23"/>
  <c r="N41" i="24" l="1"/>
  <c r="N38" i="23"/>
  <c r="O37" i="23"/>
  <c r="N42" i="24" l="1"/>
  <c r="O38" i="23"/>
  <c r="N43" i="24" l="1"/>
  <c r="AH20" i="24" l="1"/>
  <c r="N43" i="23" l="1"/>
  <c r="X43" i="24" l="1"/>
  <c r="Y10" i="23" l="1"/>
  <c r="X20" i="23"/>
  <c r="X21" i="23" s="1"/>
  <c r="AI10" i="24" l="1"/>
  <c r="AH21" i="24"/>
  <c r="AI21" i="24" s="1"/>
  <c r="Y21" i="23"/>
  <c r="X22" i="23"/>
  <c r="AH22" i="24" l="1"/>
  <c r="AI22" i="24" s="1"/>
  <c r="Y22" i="23"/>
  <c r="X23" i="23"/>
  <c r="AH23" i="24" l="1"/>
  <c r="AI23" i="24" s="1"/>
  <c r="Y23" i="23"/>
  <c r="X24" i="23"/>
  <c r="AH24" i="24" l="1"/>
  <c r="AI24" i="24" s="1"/>
  <c r="Y24" i="23"/>
  <c r="X25" i="23"/>
  <c r="AH25" i="24" l="1"/>
  <c r="AI25" i="24" s="1"/>
  <c r="Y25" i="23"/>
  <c r="X26" i="23"/>
  <c r="AH26" i="24" l="1"/>
  <c r="AI26" i="24" s="1"/>
  <c r="Y26" i="23"/>
  <c r="X27" i="23"/>
  <c r="AH27" i="24" l="1"/>
  <c r="AI27" i="24" s="1"/>
  <c r="Y27" i="23"/>
  <c r="X28" i="23"/>
  <c r="AH28" i="24" l="1"/>
  <c r="AI28" i="24" s="1"/>
  <c r="Y28" i="23"/>
  <c r="X29" i="23"/>
  <c r="AH29" i="24" l="1"/>
  <c r="AI29" i="24" s="1"/>
  <c r="Y29" i="23"/>
  <c r="X30" i="23"/>
  <c r="AH30" i="24" l="1"/>
  <c r="AI30" i="24" s="1"/>
  <c r="Y30" i="23"/>
  <c r="X31" i="23"/>
  <c r="AH31" i="24" l="1"/>
  <c r="AI31" i="24" s="1"/>
  <c r="Y31" i="23"/>
  <c r="X32" i="23"/>
  <c r="AH32" i="24" l="1"/>
  <c r="AI32" i="24" s="1"/>
  <c r="Y32" i="23"/>
  <c r="X33" i="23"/>
  <c r="AH33" i="24" l="1"/>
  <c r="AI33" i="24" s="1"/>
  <c r="Y33" i="23"/>
  <c r="X34" i="23"/>
  <c r="AH34" i="24" l="1"/>
  <c r="AI34" i="24" s="1"/>
  <c r="Y34" i="23"/>
  <c r="X35" i="23"/>
  <c r="AH35" i="24" l="1"/>
  <c r="AI35" i="24" s="1"/>
  <c r="Y35" i="23"/>
  <c r="AH36" i="24" l="1"/>
  <c r="AI36" i="24" s="1"/>
  <c r="AH37" i="24" l="1"/>
  <c r="AI37" i="24" s="1"/>
  <c r="AH38" i="24" l="1"/>
  <c r="AI38" i="24" s="1"/>
  <c r="AH39" i="24" l="1"/>
  <c r="AI39" i="24" s="1"/>
  <c r="AH40" i="24" l="1"/>
  <c r="AI40" i="24" s="1"/>
  <c r="AH41" i="24" l="1"/>
  <c r="AI41" i="24" s="1"/>
  <c r="X42" i="23"/>
  <c r="AH42" i="24" l="1"/>
  <c r="AI42" i="24" s="1"/>
  <c r="Y42" i="23"/>
  <c r="X43" i="23"/>
  <c r="AH43" i="24" l="1"/>
  <c r="Y43" i="23"/>
  <c r="AI43" i="24" l="1"/>
  <c r="AH44" i="24"/>
  <c r="AH20" i="23"/>
  <c r="AH21" i="23" s="1"/>
  <c r="AI10" i="23"/>
  <c r="AR17" i="24" l="1"/>
  <c r="AS10" i="24" s="1"/>
  <c r="AI44" i="24"/>
  <c r="AI21" i="23"/>
  <c r="AH22" i="23"/>
  <c r="AR20" i="24" l="1"/>
  <c r="AR21" i="24" s="1"/>
  <c r="AR22" i="24"/>
  <c r="AS22" i="24" s="1"/>
  <c r="AI22" i="23"/>
  <c r="AH23" i="23"/>
  <c r="AR23" i="24" l="1"/>
  <c r="AS23" i="24" s="1"/>
  <c r="AI23" i="23"/>
  <c r="AH24" i="23"/>
  <c r="AR24" i="24" l="1"/>
  <c r="AS24" i="24" s="1"/>
  <c r="AI24" i="23"/>
  <c r="AH25" i="23"/>
  <c r="AR25" i="24" l="1"/>
  <c r="AS25" i="24" s="1"/>
  <c r="AI25" i="23"/>
  <c r="AH26" i="23"/>
  <c r="AR26" i="24" l="1"/>
  <c r="AS26" i="24" s="1"/>
  <c r="AI26" i="23"/>
  <c r="AH27" i="23"/>
  <c r="AR27" i="24" l="1"/>
  <c r="AS27" i="24" s="1"/>
  <c r="AI27" i="23"/>
  <c r="AH28" i="23"/>
  <c r="AR28" i="24" l="1"/>
  <c r="AS28" i="24" s="1"/>
  <c r="AI28" i="23"/>
  <c r="AH29" i="23"/>
  <c r="AR29" i="24" l="1"/>
  <c r="AS29" i="24" s="1"/>
  <c r="AI29" i="23"/>
  <c r="AH30" i="23"/>
  <c r="AR30" i="24" l="1"/>
  <c r="AS30" i="24" s="1"/>
  <c r="AI30" i="23"/>
  <c r="AH31" i="23"/>
  <c r="AR31" i="24" l="1"/>
  <c r="AS31" i="24" s="1"/>
  <c r="AI31" i="23"/>
  <c r="AH32" i="23"/>
  <c r="AR32" i="24" l="1"/>
  <c r="AS32" i="24" s="1"/>
  <c r="AI32" i="23"/>
  <c r="AH33" i="23"/>
  <c r="AR33" i="24" l="1"/>
  <c r="AS33" i="24" s="1"/>
  <c r="AI33" i="23"/>
  <c r="AH34" i="23"/>
  <c r="AR34" i="24" l="1"/>
  <c r="AS34" i="24" s="1"/>
  <c r="AI34" i="23"/>
  <c r="AH35" i="23"/>
  <c r="AR35" i="24" l="1"/>
  <c r="AS35" i="24" s="1"/>
  <c r="AI35" i="23"/>
  <c r="AR36" i="24" l="1"/>
  <c r="AS36" i="24" s="1"/>
  <c r="AR37" i="24" l="1"/>
  <c r="AS37" i="24" s="1"/>
  <c r="AR38" i="24" l="1"/>
  <c r="AS38" i="24" l="1"/>
  <c r="AR39" i="24"/>
  <c r="AR40" i="24" l="1"/>
  <c r="AR41" i="24" l="1"/>
  <c r="AR42" i="24" l="1"/>
  <c r="AH43" i="23"/>
  <c r="AR43" i="24" l="1"/>
  <c r="AI43" i="23"/>
  <c r="AS10" i="23" l="1"/>
  <c r="AR20" i="23"/>
  <c r="AR21" i="23" s="1"/>
  <c r="BB20" i="24" l="1"/>
  <c r="BB21" i="24" s="1"/>
  <c r="BC10" i="24"/>
  <c r="AS21" i="23"/>
  <c r="AR22" i="23"/>
  <c r="BB22" i="24" l="1"/>
  <c r="BC22" i="24" s="1"/>
  <c r="AS22" i="23"/>
  <c r="AR23" i="23"/>
  <c r="BB23" i="24" l="1"/>
  <c r="BC23" i="24" s="1"/>
  <c r="AS23" i="23"/>
  <c r="AR24" i="23"/>
  <c r="BB24" i="24" l="1"/>
  <c r="BC24" i="24" s="1"/>
  <c r="AS24" i="23"/>
  <c r="AR25" i="23"/>
  <c r="BB25" i="24" l="1"/>
  <c r="BC25" i="24" s="1"/>
  <c r="AS25" i="23"/>
  <c r="AR26" i="23"/>
  <c r="BB26" i="24" l="1"/>
  <c r="BC26" i="24" s="1"/>
  <c r="AS26" i="23"/>
  <c r="AR27" i="23"/>
  <c r="BB27" i="24" l="1"/>
  <c r="BC27" i="24" s="1"/>
  <c r="AR28" i="23"/>
  <c r="AS27" i="23"/>
  <c r="BB28" i="24" l="1"/>
  <c r="BC28" i="24" s="1"/>
  <c r="AR29" i="23"/>
  <c r="AS28" i="23"/>
  <c r="BB29" i="24" l="1"/>
  <c r="BC29" i="24" s="1"/>
  <c r="AS29" i="23"/>
  <c r="AR30" i="23"/>
  <c r="BB30" i="24" l="1"/>
  <c r="BC30" i="24" s="1"/>
  <c r="AR31" i="23"/>
  <c r="AS30" i="23"/>
  <c r="BB31" i="24" l="1"/>
  <c r="BC31" i="24" s="1"/>
  <c r="AR32" i="23"/>
  <c r="AS31" i="23"/>
  <c r="BB32" i="24" l="1"/>
  <c r="BC32" i="24" s="1"/>
  <c r="AS32" i="23"/>
  <c r="AR33" i="23"/>
  <c r="BB33" i="24" l="1"/>
  <c r="BC33" i="24" s="1"/>
  <c r="AS33" i="23"/>
  <c r="AR34" i="23"/>
  <c r="BB34" i="24" l="1"/>
  <c r="BC34" i="24" s="1"/>
  <c r="AS34" i="23"/>
  <c r="AR35" i="23"/>
  <c r="BB35" i="24" l="1"/>
  <c r="BC35" i="24" s="1"/>
  <c r="AR36" i="23"/>
  <c r="AS35" i="23"/>
  <c r="BB36" i="24" l="1"/>
  <c r="BC36" i="24" s="1"/>
  <c r="AS36" i="23"/>
  <c r="AR37" i="23"/>
  <c r="AR38" i="23" s="1"/>
  <c r="AS38" i="23" l="1"/>
  <c r="AR39" i="23"/>
  <c r="BB37" i="24"/>
  <c r="BC37" i="24" s="1"/>
  <c r="AS37" i="23"/>
  <c r="AR40" i="23" l="1"/>
  <c r="AS39" i="23"/>
  <c r="BB38" i="24"/>
  <c r="AR41" i="23" l="1"/>
  <c r="AS41" i="23" s="1"/>
  <c r="AS40" i="23"/>
  <c r="BC38" i="24"/>
  <c r="BB39" i="24"/>
  <c r="BC39" i="24" s="1"/>
  <c r="AR42" i="23" l="1"/>
  <c r="BB17" i="23" s="1"/>
  <c r="AS42" i="23" l="1"/>
  <c r="AR43" i="23"/>
  <c r="AS43" i="23" l="1"/>
  <c r="BC10" i="23" l="1"/>
  <c r="BB20" i="23"/>
  <c r="BB21" i="23" s="1"/>
  <c r="BL20" i="24" l="1"/>
  <c r="BL21" i="24" s="1"/>
  <c r="BM10" i="24"/>
  <c r="BC21" i="23"/>
  <c r="BB22" i="23"/>
  <c r="BL22" i="24" l="1"/>
  <c r="BM22" i="24" s="1"/>
  <c r="BC22" i="23"/>
  <c r="BB23" i="23"/>
  <c r="BL23" i="24" l="1"/>
  <c r="BM23" i="24" s="1"/>
  <c r="BC23" i="23"/>
  <c r="BB24" i="23"/>
  <c r="BL24" i="24" l="1"/>
  <c r="BM24" i="24" s="1"/>
  <c r="BB25" i="23"/>
  <c r="BC24" i="23"/>
  <c r="BL25" i="24" l="1"/>
  <c r="BM25" i="24" s="1"/>
  <c r="BB26" i="23"/>
  <c r="BC25" i="23"/>
  <c r="BL26" i="24" l="1"/>
  <c r="BM26" i="24" s="1"/>
  <c r="BC26" i="23"/>
  <c r="BB27" i="23"/>
  <c r="BL27" i="24" l="1"/>
  <c r="BM27" i="24" s="1"/>
  <c r="BB28" i="23"/>
  <c r="BC27" i="23"/>
  <c r="BL28" i="24" l="1"/>
  <c r="BM28" i="24" s="1"/>
  <c r="BB29" i="23"/>
  <c r="BC28" i="23"/>
  <c r="BL29" i="24" l="1"/>
  <c r="BM29" i="24" s="1"/>
  <c r="BB30" i="23"/>
  <c r="BC29" i="23"/>
  <c r="BL30" i="24" l="1"/>
  <c r="BM30" i="24" s="1"/>
  <c r="BB31" i="23"/>
  <c r="BC30" i="23"/>
  <c r="BL31" i="24" l="1"/>
  <c r="BM31" i="24" s="1"/>
  <c r="BB32" i="23"/>
  <c r="BC31" i="23"/>
  <c r="BL32" i="24" l="1"/>
  <c r="BM32" i="24" s="1"/>
  <c r="BB33" i="23"/>
  <c r="BC32" i="23"/>
  <c r="BL33" i="24" l="1"/>
  <c r="BM33" i="24" s="1"/>
  <c r="BC33" i="23"/>
  <c r="BL34" i="24" l="1"/>
  <c r="BM34" i="24" s="1"/>
  <c r="BL35" i="24" l="1"/>
  <c r="BM35" i="24" s="1"/>
  <c r="BL36" i="24" l="1"/>
  <c r="BM36" i="24" s="1"/>
  <c r="BL37" i="24" l="1"/>
  <c r="BM37" i="24" s="1"/>
  <c r="BL38" i="24" l="1"/>
  <c r="BM38" i="24" s="1"/>
  <c r="BL39" i="24" l="1"/>
  <c r="BM39" i="24" s="1"/>
  <c r="BL40" i="24" l="1"/>
  <c r="BM40" i="24" s="1"/>
  <c r="BB41" i="23"/>
  <c r="BL41" i="24" l="1"/>
  <c r="BB42" i="23"/>
  <c r="BL42" i="24" l="1"/>
  <c r="BB43" i="23"/>
  <c r="BL43" i="24" l="1"/>
  <c r="BC43" i="23"/>
  <c r="BL20" i="23" l="1"/>
  <c r="BL21" i="23" s="1"/>
  <c r="BM10" i="23"/>
  <c r="BV20" i="24" l="1"/>
  <c r="BV21" i="24" s="1"/>
  <c r="BW10" i="24"/>
  <c r="BM21" i="23"/>
  <c r="BL22" i="23"/>
  <c r="BV22" i="24" l="1"/>
  <c r="BW22" i="24" s="1"/>
  <c r="BM22" i="23"/>
  <c r="BL23" i="23"/>
  <c r="BV23" i="24" l="1"/>
  <c r="BW23" i="24" s="1"/>
  <c r="BM23" i="23"/>
  <c r="BL24" i="23"/>
  <c r="BV24" i="24" l="1"/>
  <c r="BW24" i="24" s="1"/>
  <c r="BM24" i="23"/>
  <c r="BL25" i="23"/>
  <c r="BV25" i="24" l="1"/>
  <c r="BW25" i="24" s="1"/>
  <c r="BM25" i="23"/>
  <c r="BL26" i="23"/>
  <c r="BV26" i="24" l="1"/>
  <c r="BW26" i="24" s="1"/>
  <c r="BM26" i="23"/>
  <c r="BL27" i="23"/>
  <c r="BV27" i="24" l="1"/>
  <c r="BW27" i="24" s="1"/>
  <c r="BM27" i="23"/>
  <c r="BL28" i="23"/>
  <c r="BV28" i="24" l="1"/>
  <c r="BW28" i="24" s="1"/>
  <c r="BM28" i="23"/>
  <c r="BL29" i="23"/>
  <c r="BV29" i="24" l="1"/>
  <c r="BW29" i="24" s="1"/>
  <c r="BM29" i="23"/>
  <c r="BL30" i="23"/>
  <c r="BV30" i="24" l="1"/>
  <c r="BW30" i="24" s="1"/>
  <c r="BM30" i="23"/>
  <c r="BL31" i="23"/>
  <c r="BV31" i="24" l="1"/>
  <c r="BW31" i="24" s="1"/>
  <c r="BM31" i="23"/>
  <c r="BL32" i="23"/>
  <c r="BV32" i="24" l="1"/>
  <c r="BW32" i="24" s="1"/>
  <c r="BM32" i="23"/>
  <c r="BL33" i="23"/>
  <c r="BL34" i="23" l="1"/>
  <c r="BV33" i="24"/>
  <c r="BW33" i="24" s="1"/>
  <c r="BM33" i="23"/>
  <c r="BM34" i="23" l="1"/>
  <c r="BL35" i="23"/>
  <c r="BV34" i="24"/>
  <c r="BM35" i="23" l="1"/>
  <c r="BL36" i="23"/>
  <c r="CF17" i="24"/>
  <c r="BW34" i="24"/>
  <c r="BV35" i="24"/>
  <c r="BM36" i="23" l="1"/>
  <c r="BL37" i="23"/>
  <c r="CG10" i="24"/>
  <c r="CF20" i="24"/>
  <c r="CF21" i="24" s="1"/>
  <c r="BV36" i="24"/>
  <c r="BM37" i="23" l="1"/>
  <c r="BL38" i="23"/>
  <c r="BM38" i="23" s="1"/>
  <c r="CF22" i="24"/>
  <c r="BV37" i="24"/>
  <c r="CG22" i="24" l="1"/>
  <c r="CF23" i="24"/>
  <c r="BV38" i="24"/>
  <c r="BL39" i="23"/>
  <c r="CG23" i="24" l="1"/>
  <c r="CF24" i="24"/>
  <c r="BV39" i="24"/>
  <c r="BL40" i="23"/>
  <c r="CG24" i="24" l="1"/>
  <c r="CF25" i="24"/>
  <c r="BM40" i="23"/>
  <c r="BV40" i="24"/>
  <c r="BL41" i="23"/>
  <c r="CG25" i="24" l="1"/>
  <c r="CF26" i="24"/>
  <c r="BV41" i="24"/>
  <c r="BL42" i="23"/>
  <c r="CG26" i="24" l="1"/>
  <c r="CF27" i="24"/>
  <c r="BV42" i="24"/>
  <c r="BL43" i="23"/>
  <c r="CG27" i="24" l="1"/>
  <c r="CF28" i="24"/>
  <c r="BV43" i="24"/>
  <c r="BV20" i="23"/>
  <c r="BV21" i="23" s="1"/>
  <c r="BW21" i="23" s="1"/>
  <c r="BW10" i="23"/>
  <c r="CG28" i="24" l="1"/>
  <c r="CF29" i="24"/>
  <c r="BV22" i="23"/>
  <c r="CG29" i="24" l="1"/>
  <c r="CF30" i="24"/>
  <c r="BW22" i="23"/>
  <c r="BV23" i="23"/>
  <c r="CG30" i="24" l="1"/>
  <c r="CF31" i="24"/>
  <c r="BW23" i="23"/>
  <c r="BV24" i="23"/>
  <c r="CG31" i="24" l="1"/>
  <c r="CF32" i="24"/>
  <c r="BW24" i="23"/>
  <c r="BV25" i="23"/>
  <c r="CG32" i="24" l="1"/>
  <c r="CF33" i="24"/>
  <c r="BW25" i="23"/>
  <c r="BV26" i="23"/>
  <c r="BW26" i="23" s="1"/>
  <c r="CP17" i="24" l="1"/>
  <c r="CG33" i="24"/>
  <c r="BV27" i="23"/>
  <c r="CP20" i="24" l="1"/>
  <c r="CP21" i="24" s="1"/>
  <c r="CQ10" i="24"/>
  <c r="BW27" i="23"/>
  <c r="BV28" i="23"/>
  <c r="CP22" i="24" l="1"/>
  <c r="CQ22" i="24" s="1"/>
  <c r="BW28" i="23"/>
  <c r="BV29" i="23"/>
  <c r="CP23" i="24" l="1"/>
  <c r="CQ23" i="24" s="1"/>
  <c r="BW29" i="23"/>
  <c r="BV30" i="23"/>
  <c r="CP24" i="24" l="1"/>
  <c r="CQ24" i="24" s="1"/>
  <c r="BW30" i="23"/>
  <c r="BV31" i="23"/>
  <c r="CP25" i="24" l="1"/>
  <c r="CQ25" i="24" s="1"/>
  <c r="BW31" i="23"/>
  <c r="BV32" i="23"/>
  <c r="CP26" i="24" l="1"/>
  <c r="CQ26" i="24" s="1"/>
  <c r="BW32" i="23"/>
  <c r="BV33" i="23"/>
  <c r="CP27" i="24" l="1"/>
  <c r="CQ27" i="24" s="1"/>
  <c r="BW33" i="23"/>
  <c r="BV34" i="23"/>
  <c r="BV35" i="23" s="1"/>
  <c r="BW35" i="23" l="1"/>
  <c r="BV36" i="23"/>
  <c r="CP28" i="24"/>
  <c r="CQ28" i="24" s="1"/>
  <c r="BW34" i="23"/>
  <c r="BW36" i="23" l="1"/>
  <c r="BV37" i="23"/>
  <c r="BW37" i="23" s="1"/>
  <c r="CP29" i="24"/>
  <c r="CQ29" i="24" s="1"/>
  <c r="CP30" i="24" l="1"/>
  <c r="CQ30" i="24" s="1"/>
  <c r="CP31" i="24" l="1"/>
  <c r="CQ31" i="24" s="1"/>
  <c r="BV38" i="23"/>
  <c r="CP32" i="24" l="1"/>
  <c r="CQ32" i="24" s="1"/>
  <c r="BV39" i="23"/>
  <c r="CP33" i="24" l="1"/>
  <c r="BV40" i="23"/>
  <c r="CP34" i="24" l="1"/>
  <c r="CG10" i="23"/>
  <c r="CF20" i="23"/>
  <c r="CF21" i="23" s="1"/>
  <c r="CG21" i="23" s="1"/>
  <c r="CP35" i="24" l="1"/>
  <c r="CF22" i="23"/>
  <c r="CG22" i="23" s="1"/>
  <c r="CF23" i="23" l="1"/>
  <c r="CG23" i="23" s="1"/>
  <c r="CF24" i="23" l="1"/>
  <c r="CG24" i="23" s="1"/>
  <c r="CF25" i="23" l="1"/>
  <c r="CG25" i="23" s="1"/>
  <c r="CF26" i="23" l="1"/>
  <c r="CG26" i="23" s="1"/>
  <c r="CF27" i="23" l="1"/>
  <c r="CG27" i="23" s="1"/>
  <c r="CF28" i="23" l="1"/>
  <c r="CG28" i="23" s="1"/>
  <c r="CF29" i="23" l="1"/>
  <c r="CG29" i="23" s="1"/>
  <c r="CF30" i="23" l="1"/>
  <c r="CG30" i="23" s="1"/>
  <c r="CF31" i="23" l="1"/>
  <c r="CG31" i="23" s="1"/>
  <c r="CF32" i="23" l="1"/>
  <c r="CG32" i="23" s="1"/>
  <c r="CF33" i="23" l="1"/>
  <c r="CP17" i="23" s="1"/>
  <c r="CG33" i="23" l="1"/>
  <c r="CF36" i="23"/>
  <c r="CQ10" i="23" l="1"/>
  <c r="CP20" i="23"/>
  <c r="CP21" i="23" s="1"/>
  <c r="CQ21" i="23" s="1"/>
  <c r="CF37" i="23"/>
  <c r="CP22" i="23" l="1"/>
  <c r="CF38" i="23"/>
  <c r="CQ22" i="23" l="1"/>
  <c r="CF39" i="23"/>
  <c r="CF40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2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sharedStrings.xml><?xml version="1.0" encoding="utf-8"?>
<sst xmlns="http://schemas.openxmlformats.org/spreadsheetml/2006/main" count="1848" uniqueCount="115">
  <si>
    <t>総平均タイム</t>
    <rPh sb="0" eb="1">
      <t>ソウ</t>
    </rPh>
    <rPh sb="1" eb="3">
      <t>ヘイキン</t>
    </rPh>
    <phoneticPr fontId="1"/>
  </si>
  <si>
    <t>3周平均タイム</t>
    <rPh sb="1" eb="2">
      <t>シュウ</t>
    </rPh>
    <rPh sb="2" eb="4">
      <t>ヘイキン</t>
    </rPh>
    <phoneticPr fontId="1"/>
  </si>
  <si>
    <t>総積算時間</t>
    <rPh sb="0" eb="1">
      <t>ソウ</t>
    </rPh>
    <rPh sb="1" eb="3">
      <t>セキサン</t>
    </rPh>
    <rPh sb="3" eb="5">
      <t>ジカン</t>
    </rPh>
    <phoneticPr fontId="1"/>
  </si>
  <si>
    <t>分</t>
    <rPh sb="0" eb="1">
      <t>フン</t>
    </rPh>
    <phoneticPr fontId="1"/>
  </si>
  <si>
    <t>残ガスL</t>
    <rPh sb="0" eb="1">
      <t>ザン</t>
    </rPh>
    <phoneticPr fontId="1"/>
  </si>
  <si>
    <t>ガス使用量L</t>
    <rPh sb="2" eb="5">
      <t>シヨウリョウ</t>
    </rPh>
    <phoneticPr fontId="1"/>
  </si>
  <si>
    <t>D</t>
    <phoneticPr fontId="1"/>
  </si>
  <si>
    <t>W</t>
    <phoneticPr fontId="1"/>
  </si>
  <si>
    <t>実測残ガスL</t>
    <rPh sb="0" eb="2">
      <t>ジッソク</t>
    </rPh>
    <rPh sb="2" eb="3">
      <t>ザン</t>
    </rPh>
    <phoneticPr fontId="1"/>
  </si>
  <si>
    <t>実燃費km/L</t>
    <rPh sb="0" eb="1">
      <t>ジツ</t>
    </rPh>
    <rPh sb="1" eb="3">
      <t>ネンピ</t>
    </rPh>
    <phoneticPr fontId="1"/>
  </si>
  <si>
    <t>-</t>
    <phoneticPr fontId="1"/>
  </si>
  <si>
    <t>Lap</t>
    <phoneticPr fontId="1"/>
  </si>
  <si>
    <t>秒</t>
    <rPh sb="0" eb="1">
      <t>ビョウ</t>
    </rPh>
    <phoneticPr fontId="1"/>
  </si>
  <si>
    <t>可能Lap数</t>
    <rPh sb="0" eb="2">
      <t>カノウ</t>
    </rPh>
    <rPh sb="5" eb="6">
      <t>スウ</t>
    </rPh>
    <phoneticPr fontId="1"/>
  </si>
  <si>
    <t>タイム</t>
    <phoneticPr fontId="1"/>
  </si>
  <si>
    <t>消費量L/Lap</t>
    <rPh sb="0" eb="3">
      <t>ショウヒリョウ</t>
    </rPh>
    <phoneticPr fontId="1"/>
  </si>
  <si>
    <t>想定燃費km/L</t>
    <rPh sb="0" eb="2">
      <t>ソウテイ</t>
    </rPh>
    <rPh sb="2" eb="4">
      <t>ネンピ</t>
    </rPh>
    <phoneticPr fontId="1"/>
  </si>
  <si>
    <t>SC</t>
    <phoneticPr fontId="1"/>
  </si>
  <si>
    <t>残り時間</t>
    <rPh sb="0" eb="1">
      <t>ノコ</t>
    </rPh>
    <rPh sb="2" eb="4">
      <t>ジカン</t>
    </rPh>
    <phoneticPr fontId="1"/>
  </si>
  <si>
    <t>EX1</t>
    <phoneticPr fontId="1"/>
  </si>
  <si>
    <t>EX2</t>
    <phoneticPr fontId="1"/>
  </si>
  <si>
    <t>ラップ数</t>
    <rPh sb="3" eb="4">
      <t>スウ</t>
    </rPh>
    <phoneticPr fontId="1"/>
  </si>
  <si>
    <t>D/W/SC
EX1/EX2</t>
    <phoneticPr fontId="1"/>
  </si>
  <si>
    <t>IN消費量L</t>
    <rPh sb="2" eb="5">
      <t>ショウヒリョウ</t>
    </rPh>
    <phoneticPr fontId="1"/>
  </si>
  <si>
    <t>S</t>
    <phoneticPr fontId="1"/>
  </si>
  <si>
    <t>OUT消費量L</t>
    <rPh sb="3" eb="6">
      <t>ショウヒリョウ</t>
    </rPh>
    <phoneticPr fontId="1"/>
  </si>
  <si>
    <t>ドライTL平均タイム</t>
    <rPh sb="5" eb="7">
      <t>ヘイキン</t>
    </rPh>
    <phoneticPr fontId="1"/>
  </si>
  <si>
    <t>ウェットTL平均タイム</t>
    <rPh sb="6" eb="8">
      <t>ヘイキン</t>
    </rPh>
    <phoneticPr fontId="1"/>
  </si>
  <si>
    <t>SCTL平均タイム</t>
    <rPh sb="4" eb="6">
      <t>ヘイキン</t>
    </rPh>
    <phoneticPr fontId="1"/>
  </si>
  <si>
    <t>Pit</t>
    <phoneticPr fontId="1"/>
  </si>
  <si>
    <t>燃料消費量L</t>
    <rPh sb="0" eb="2">
      <t>ネンリョウ</t>
    </rPh>
    <rPh sb="2" eb="5">
      <t>ショウヒリョウ</t>
    </rPh>
    <phoneticPr fontId="1"/>
  </si>
  <si>
    <t>スタート後消費量L</t>
    <rPh sb="4" eb="5">
      <t>ゴ</t>
    </rPh>
    <rPh sb="5" eb="8">
      <t>ショウヒリョウ</t>
    </rPh>
    <phoneticPr fontId="1"/>
  </si>
  <si>
    <t>スタート後走行距離km</t>
    <rPh sb="4" eb="5">
      <t>ゴ</t>
    </rPh>
    <rPh sb="5" eb="7">
      <t>ソウコウ</t>
    </rPh>
    <rPh sb="7" eb="9">
      <t>キョリ</t>
    </rPh>
    <phoneticPr fontId="1"/>
  </si>
  <si>
    <t>km</t>
    <phoneticPr fontId="1"/>
  </si>
  <si>
    <t>積算走行時間</t>
    <rPh sb="0" eb="2">
      <t>セキサン</t>
    </rPh>
    <rPh sb="2" eb="4">
      <t>ソウコウ</t>
    </rPh>
    <rPh sb="4" eb="6">
      <t>ジカン</t>
    </rPh>
    <phoneticPr fontId="1"/>
  </si>
  <si>
    <t>ドライTL周回数</t>
    <rPh sb="5" eb="6">
      <t>シュウ</t>
    </rPh>
    <rPh sb="6" eb="8">
      <t>カイスウ</t>
    </rPh>
    <phoneticPr fontId="1"/>
  </si>
  <si>
    <t>ウェットTL周回数</t>
    <rPh sb="6" eb="7">
      <t>シュウ</t>
    </rPh>
    <rPh sb="7" eb="9">
      <t>カイスウ</t>
    </rPh>
    <phoneticPr fontId="1"/>
  </si>
  <si>
    <t>想定Lapタイム</t>
    <rPh sb="0" eb="2">
      <t>ソウテイ</t>
    </rPh>
    <phoneticPr fontId="1"/>
  </si>
  <si>
    <t>想定Pitタイム</t>
    <rPh sb="0" eb="2">
      <t>ソウテイ</t>
    </rPh>
    <phoneticPr fontId="1"/>
  </si>
  <si>
    <t>想定IN-Lapタイム</t>
    <rPh sb="0" eb="2">
      <t>ソウテイ</t>
    </rPh>
    <phoneticPr fontId="1"/>
  </si>
  <si>
    <t>想定OUT-Lapタイム</t>
    <rPh sb="0" eb="2">
      <t>ソウテイ</t>
    </rPh>
    <phoneticPr fontId="1"/>
  </si>
  <si>
    <t>残り可能周回数</t>
    <rPh sb="0" eb="1">
      <t>ノコ</t>
    </rPh>
    <rPh sb="2" eb="4">
      <t>カノウ</t>
    </rPh>
    <rPh sb="4" eb="6">
      <t>シュウカイ</t>
    </rPh>
    <rPh sb="6" eb="7">
      <t>スウ</t>
    </rPh>
    <phoneticPr fontId="1"/>
  </si>
  <si>
    <t>最終ST周回数</t>
    <rPh sb="0" eb="2">
      <t>サイシュウ</t>
    </rPh>
    <rPh sb="4" eb="6">
      <t>シュウカイ</t>
    </rPh>
    <rPh sb="6" eb="7">
      <t>スウ</t>
    </rPh>
    <phoneticPr fontId="1"/>
  </si>
  <si>
    <t>設定周回数/ST</t>
    <rPh sb="0" eb="2">
      <t>セッテイ</t>
    </rPh>
    <rPh sb="2" eb="3">
      <t>シュウ</t>
    </rPh>
    <rPh sb="3" eb="5">
      <t>カイスウ</t>
    </rPh>
    <phoneticPr fontId="1"/>
  </si>
  <si>
    <t>OUT/IN</t>
    <phoneticPr fontId="1"/>
  </si>
  <si>
    <t>SCTL周回数</t>
    <rPh sb="4" eb="7">
      <t>シュウカイスウ</t>
    </rPh>
    <phoneticPr fontId="1"/>
  </si>
  <si>
    <t>TL平均タイム</t>
  </si>
  <si>
    <t>レース時間,コース距離</t>
    <rPh sb="3" eb="5">
      <t>ジカン</t>
    </rPh>
    <rPh sb="9" eb="11">
      <t>キョリ</t>
    </rPh>
    <phoneticPr fontId="1"/>
  </si>
  <si>
    <t>残り</t>
    <rPh sb="0" eb="1">
      <t>ノコ</t>
    </rPh>
    <phoneticPr fontId="1"/>
  </si>
  <si>
    <t>予定</t>
    <rPh sb="0" eb="2">
      <t>ヨテイ</t>
    </rPh>
    <phoneticPr fontId="1"/>
  </si>
  <si>
    <t>周回数</t>
    <rPh sb="0" eb="2">
      <t>シュウカイ</t>
    </rPh>
    <rPh sb="2" eb="3">
      <t>スウ</t>
    </rPh>
    <phoneticPr fontId="1"/>
  </si>
  <si>
    <t>無し</t>
    <rPh sb="0" eb="1">
      <t>ナ</t>
    </rPh>
    <phoneticPr fontId="1"/>
  </si>
  <si>
    <t>MAX ST周回数</t>
    <rPh sb="6" eb="7">
      <t>シュウ</t>
    </rPh>
    <rPh sb="7" eb="9">
      <t>カイスウ</t>
    </rPh>
    <phoneticPr fontId="1"/>
  </si>
  <si>
    <t>残りPit回数</t>
    <rPh sb="0" eb="1">
      <t>ノコ</t>
    </rPh>
    <rPh sb="5" eb="7">
      <t>カイスウ</t>
    </rPh>
    <phoneticPr fontId="1"/>
  </si>
  <si>
    <t>＝残りST数</t>
    <rPh sb="1" eb="2">
      <t>ノコ</t>
    </rPh>
    <rPh sb="5" eb="6">
      <t>スウ</t>
    </rPh>
    <phoneticPr fontId="1"/>
  </si>
  <si>
    <t>想定SCタイム</t>
    <rPh sb="0" eb="2">
      <t>ソウテイ</t>
    </rPh>
    <phoneticPr fontId="1"/>
  </si>
  <si>
    <t>以降想定SC周回数</t>
    <rPh sb="0" eb="2">
      <t>イコウ</t>
    </rPh>
    <rPh sb="2" eb="4">
      <t>ソウテイ</t>
    </rPh>
    <rPh sb="6" eb="9">
      <t>シュウカイスウ</t>
    </rPh>
    <phoneticPr fontId="1"/>
  </si>
  <si>
    <t>BaseCondition</t>
    <phoneticPr fontId="1"/>
  </si>
  <si>
    <t>Weather</t>
    <phoneticPr fontId="1"/>
  </si>
  <si>
    <t>DRY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</si>
  <si>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</si>
  <si>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</si>
  <si>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</si>
  <si>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</si>
  <si>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</si>
  <si>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BaseCondition</t>
    <phoneticPr fontId="1"/>
  </si>
  <si>
    <t>Weather</t>
    <phoneticPr fontId="1"/>
  </si>
  <si>
    <t>WET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</si>
  <si>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</si>
  <si>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</si>
  <si>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</si>
  <si>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</si>
  <si>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</si>
  <si>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DRY-OUTLAP</t>
    <phoneticPr fontId="1"/>
  </si>
  <si>
    <t>DRY-INLAP</t>
    <phoneticPr fontId="1"/>
  </si>
  <si>
    <t>WET-OUTLAP</t>
    <phoneticPr fontId="1"/>
  </si>
  <si>
    <t>WET-INLAP</t>
    <phoneticPr fontId="1"/>
  </si>
  <si>
    <t>SC</t>
    <phoneticPr fontId="1"/>
  </si>
  <si>
    <t>EX1</t>
    <phoneticPr fontId="1"/>
  </si>
  <si>
    <t>EX2</t>
    <phoneticPr fontId="1"/>
  </si>
  <si>
    <t>ケース別の燃料消費量 L</t>
    <rPh sb="3" eb="4">
      <t>ベツ</t>
    </rPh>
    <rPh sb="5" eb="10">
      <t>ネンリョウショウヒリョウ</t>
    </rPh>
    <phoneticPr fontId="1"/>
  </si>
  <si>
    <t>(L/lap)</t>
    <phoneticPr fontId="1"/>
  </si>
  <si>
    <t>(L/lap)</t>
    <phoneticPr fontId="1"/>
  </si>
  <si>
    <t>(L/lap)</t>
    <phoneticPr fontId="1"/>
  </si>
  <si>
    <t>(L/lap)</t>
    <phoneticPr fontId="1"/>
  </si>
  <si>
    <t>Source</t>
    <phoneticPr fontId="1"/>
  </si>
  <si>
    <t>Laps</t>
    <phoneticPr fontId="1"/>
  </si>
  <si>
    <t>Ex. Case</t>
    <phoneticPr fontId="1"/>
  </si>
  <si>
    <t>Ex. Case</t>
    <phoneticPr fontId="1"/>
  </si>
  <si>
    <t>←現STは予定Lapを参照</t>
    <rPh sb="1" eb="2">
      <t>ゲン</t>
    </rPh>
    <rPh sb="5" eb="7">
      <t>ヨテイ</t>
    </rPh>
    <rPh sb="11" eb="13">
      <t>サンショウ</t>
    </rPh>
    <phoneticPr fontId="1"/>
  </si>
  <si>
    <t>以降想定ウェット周回数</t>
    <rPh sb="0" eb="2">
      <t>イコウ</t>
    </rPh>
    <rPh sb="2" eb="4">
      <t>ソウテイ</t>
    </rPh>
    <rPh sb="8" eb="11">
      <t>シュウカイスウ</t>
    </rPh>
    <phoneticPr fontId="1"/>
  </si>
  <si>
    <t>↓</t>
    <phoneticPr fontId="1"/>
  </si>
  <si>
    <t>想定ウェットLapタイム</t>
    <rPh sb="0" eb="2">
      <t>ソウテイ</t>
    </rPh>
    <phoneticPr fontId="1"/>
  </si>
  <si>
    <t>Uchida</t>
  </si>
  <si>
    <t>Uchida</t>
    <phoneticPr fontId="1"/>
  </si>
  <si>
    <t>Hideto</t>
    <phoneticPr fontId="1"/>
  </si>
  <si>
    <t>Fukuoka</t>
  </si>
  <si>
    <t>Fukuoka</t>
    <phoneticPr fontId="1"/>
  </si>
  <si>
    <t>OUT</t>
  </si>
  <si>
    <t>D</t>
  </si>
  <si>
    <t>D</t>
    <phoneticPr fontId="1"/>
  </si>
  <si>
    <t>ドライ</t>
    <phoneticPr fontId="1"/>
  </si>
  <si>
    <t>Hideto</t>
    <phoneticPr fontId="1"/>
  </si>
  <si>
    <t>IN</t>
  </si>
  <si>
    <t>D</t>
    <phoneticPr fontId="1"/>
  </si>
  <si>
    <t>IN</t>
    <phoneticPr fontId="1"/>
  </si>
  <si>
    <t>OUT</t>
    <phoneticPr fontId="1"/>
  </si>
  <si>
    <t>Tire</t>
    <phoneticPr fontId="1"/>
  </si>
  <si>
    <t>Yoshinaga</t>
    <phoneticPr fontId="1"/>
  </si>
  <si>
    <t>SC</t>
  </si>
  <si>
    <t>Yoshinaga</t>
  </si>
  <si>
    <t>tire</t>
    <phoneticPr fontId="1"/>
  </si>
  <si>
    <t>もりけん</t>
    <phoneticPr fontId="1"/>
  </si>
  <si>
    <t>内田</t>
    <rPh sb="0" eb="2">
      <t>ウチダ</t>
    </rPh>
    <phoneticPr fontId="1"/>
  </si>
  <si>
    <t>小林</t>
    <rPh sb="0" eb="2">
      <t>コバヤシ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</si>
</sst>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"/>
    <numFmt numFmtId="178" formatCode="0.000_ "/>
    <numFmt numFmtId="179" formatCode="0.00_ "/>
    <numFmt numFmtId="180" formatCode="0.0_ "/>
  </numFmts>
  <fonts count="2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b/>
      <sz val="11"/>
      <color rgb="FF00B0F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1"/>
      <color theme="4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2" fontId="2" fillId="0" borderId="1" xfId="0" applyNumberFormat="1" applyFont="1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79" fontId="0" fillId="2" borderId="18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2" fontId="0" fillId="0" borderId="11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2" fillId="2" borderId="16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8" fontId="2" fillId="0" borderId="5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right" vertical="center"/>
    </xf>
    <xf numFmtId="0" fontId="0" fillId="5" borderId="2" xfId="0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right" vertical="center"/>
    </xf>
    <xf numFmtId="179" fontId="0" fillId="0" borderId="20" xfId="0" applyNumberFormat="1" applyBorder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2" fillId="2" borderId="18" xfId="0" applyFont="1" applyFill="1" applyBorder="1" applyAlignment="1">
      <alignment horizontal="center" vertical="center"/>
    </xf>
    <xf numFmtId="176" fontId="2" fillId="2" borderId="0" xfId="0" applyNumberFormat="1" applyFont="1" applyFill="1" applyAlignment="1">
      <alignment horizontal="right" vertical="center"/>
    </xf>
    <xf numFmtId="0" fontId="0" fillId="0" borderId="1" xfId="0" applyBorder="1">
      <alignment vertical="center"/>
    </xf>
    <xf numFmtId="0" fontId="0" fillId="0" borderId="8" xfId="0" applyBorder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horizontal="center" vertical="center" wrapText="1"/>
    </xf>
    <xf numFmtId="0" fontId="0" fillId="0" borderId="25" xfId="0" applyBorder="1">
      <alignment vertical="center"/>
    </xf>
    <xf numFmtId="0" fontId="0" fillId="0" borderId="27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180" fontId="0" fillId="2" borderId="18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9" fontId="0" fillId="0" borderId="18" xfId="0" applyNumberFormat="1" applyBorder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176" fontId="12" fillId="2" borderId="0" xfId="0" applyNumberFormat="1" applyFon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1" fillId="0" borderId="12" xfId="0" applyFont="1" applyBorder="1">
      <alignment vertical="center"/>
    </xf>
    <xf numFmtId="180" fontId="0" fillId="0" borderId="18" xfId="0" applyNumberFormat="1" applyBorder="1" applyAlignment="1">
      <alignment horizontal="center" vertical="center"/>
    </xf>
    <xf numFmtId="2" fontId="0" fillId="2" borderId="18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76" fontId="2" fillId="2" borderId="27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76" fontId="0" fillId="2" borderId="11" xfId="0" applyNumberFormat="1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6" fontId="13" fillId="7" borderId="1" xfId="0" applyNumberFormat="1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4" fillId="7" borderId="15" xfId="0" applyFont="1" applyFill="1" applyBorder="1">
      <alignment vertical="center"/>
    </xf>
    <xf numFmtId="0" fontId="14" fillId="7" borderId="16" xfId="0" applyFont="1" applyFill="1" applyBorder="1">
      <alignment vertical="center"/>
    </xf>
    <xf numFmtId="0" fontId="15" fillId="7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2" fillId="0" borderId="5" xfId="0" applyFont="1" applyBorder="1" applyAlignment="1">
      <alignment horizontal="center" vertical="center" wrapText="1"/>
    </xf>
    <xf numFmtId="2" fontId="0" fillId="2" borderId="16" xfId="0" applyNumberFormat="1" applyFill="1" applyBorder="1" applyAlignment="1">
      <alignment horizontal="center" vertical="center"/>
    </xf>
    <xf numFmtId="2" fontId="0" fillId="5" borderId="16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0" borderId="1" xfId="0" applyFont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0" fontId="20" fillId="0" borderId="1" xfId="0" applyFont="1" applyBorder="1" applyAlignment="1">
      <alignment vertical="center" shrinkToFit="1"/>
    </xf>
    <xf numFmtId="0" fontId="16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19" fillId="0" borderId="1" xfId="0" applyFont="1" applyBorder="1">
      <alignment vertical="center"/>
    </xf>
    <xf numFmtId="0" fontId="21" fillId="0" borderId="0" xfId="0" applyFont="1" applyAlignment="1">
      <alignment horizontal="right" vertical="center"/>
    </xf>
    <xf numFmtId="178" fontId="21" fillId="0" borderId="0" xfId="0" applyNumberFormat="1" applyFont="1" applyAlignment="1">
      <alignment horizontal="right" vertical="center"/>
    </xf>
    <xf numFmtId="0" fontId="22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178" fontId="24" fillId="0" borderId="0" xfId="0" applyNumberFormat="1" applyFont="1" applyAlignment="1">
      <alignment horizontal="right" vertical="center"/>
    </xf>
    <xf numFmtId="0" fontId="2" fillId="8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2" borderId="16" xfId="0" applyNumberForma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176" fontId="0" fillId="5" borderId="16" xfId="0" applyNumberFormat="1" applyFill="1" applyBorder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2" borderId="5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184150</xdr:colOff>
          <xdr:row>1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27</xdr:row>
      <xdr:rowOff>0</xdr:rowOff>
    </xdr:from>
    <xdr:ext cx="3087414" cy="187038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4526064"/>
          <a:ext cx="3087414" cy="187038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目標</a:t>
          </a:r>
          <a:r>
            <a:rPr kumimoji="1" lang="en-US" altLang="ja-JP" sz="1100">
              <a:solidFill>
                <a:srgbClr val="FF0000"/>
              </a:solidFill>
            </a:rPr>
            <a:t>160</a:t>
          </a:r>
          <a:r>
            <a:rPr kumimoji="1" lang="ja-JP" altLang="en-US" sz="1100">
              <a:solidFill>
                <a:srgbClr val="FF0000"/>
              </a:solidFill>
            </a:rPr>
            <a:t>周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ピットストップ</a:t>
          </a:r>
          <a:r>
            <a:rPr kumimoji="1" lang="en-US" altLang="ja-JP" sz="1100">
              <a:solidFill>
                <a:srgbClr val="FF0000"/>
              </a:solidFill>
            </a:rPr>
            <a:t>4</a:t>
          </a:r>
          <a:r>
            <a:rPr kumimoji="1" lang="ja-JP" altLang="en-US" sz="1100">
              <a:solidFill>
                <a:srgbClr val="FF0000"/>
              </a:solidFill>
            </a:rPr>
            <a:t>分（給油時）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３分４０秒計測</a:t>
          </a: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  <a:p>
          <a:endParaRPr kumimoji="1" lang="ja-JP" altLang="en-US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→実ストップ時間</a:t>
          </a:r>
          <a:r>
            <a:rPr kumimoji="1" lang="en-US" altLang="ja-JP" sz="1100">
              <a:solidFill>
                <a:srgbClr val="FF0000"/>
              </a:solidFill>
            </a:rPr>
            <a:t>3</a:t>
          </a:r>
          <a:r>
            <a:rPr kumimoji="1" lang="ja-JP" altLang="en-US" sz="1100">
              <a:solidFill>
                <a:srgbClr val="FF0000"/>
              </a:solidFill>
            </a:rPr>
            <a:t>分</a:t>
          </a:r>
          <a:r>
            <a:rPr kumimoji="1" lang="en-US" altLang="ja-JP" sz="1100">
              <a:solidFill>
                <a:srgbClr val="FF0000"/>
              </a:solidFill>
            </a:rPr>
            <a:t>30</a:t>
          </a:r>
          <a:r>
            <a:rPr kumimoji="1" lang="ja-JP" altLang="en-US" sz="1100">
              <a:solidFill>
                <a:srgbClr val="FF0000"/>
              </a:solidFill>
            </a:rPr>
            <a:t>秒にしてみた。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en-US" altLang="ja-JP" sz="1100">
              <a:solidFill>
                <a:srgbClr val="FF0000"/>
              </a:solidFill>
            </a:rPr>
            <a:t>1</a:t>
          </a:r>
          <a:r>
            <a:rPr kumimoji="1" lang="ja-JP" altLang="en-US" sz="1100">
              <a:solidFill>
                <a:srgbClr val="FF0000"/>
              </a:solidFill>
            </a:rPr>
            <a:t>回目の交換で３分２０秒ででってたら総タイム３分４３秒でし足りませんでした。</a:t>
          </a:r>
          <a:br>
            <a:rPr kumimoji="1" lang="en-US" altLang="ja-JP" sz="1100">
              <a:solidFill>
                <a:srgbClr val="FF0000"/>
              </a:solidFill>
            </a:rPr>
          </a:b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184150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FF0000"/>
    <pageSetUpPr fitToPage="1"/>
  </sheetPr>
  <dimension ref="A1:HG60"/>
  <sheetViews>
    <sheetView zoomScale="59" zoomScaleNormal="60" workbookViewId="0">
      <pane xSplit="6" ySplit="17" topLeftCell="AU18" activePane="bottomRight" state="frozen"/>
      <selection pane="topRight" activeCell="G1" sqref="G1"/>
      <selection pane="bottomLeft" activeCell="A18" sqref="A18"/>
      <selection pane="bottomRight" activeCell="AV40" sqref="AV40:AY42"/>
    </sheetView>
  </sheetViews>
  <sheetFormatPr defaultRowHeight="13" x14ac:dyDescent="0.2"/>
  <cols>
    <col min="1" max="1" width="16" customWidth="1"/>
    <col min="3" max="3" width="4.6328125" bestFit="1" customWidth="1"/>
    <col min="4" max="4" width="10.08984375" bestFit="1" customWidth="1"/>
    <col min="5" max="5" width="3.90625" bestFit="1" customWidth="1"/>
    <col min="6" max="6" width="1.81640625" customWidth="1"/>
    <col min="7" max="7" width="4.90625" style="25" bestFit="1" customWidth="1"/>
    <col min="8" max="8" width="8.6328125" style="25" customWidth="1"/>
    <col min="9" max="9" width="9.08984375" style="25" customWidth="1"/>
    <col min="10" max="10" width="3.54296875" style="25" bestFit="1" customWidth="1"/>
    <col min="11" max="11" width="9" style="25" customWidth="1"/>
    <col min="12" max="12" width="3.54296875" style="25" bestFit="1" customWidth="1"/>
    <col min="13" max="13" width="9.1796875" style="25" customWidth="1"/>
    <col min="14" max="14" width="8.36328125" style="25" bestFit="1" customWidth="1"/>
    <col min="15" max="15" width="10.6328125" style="25" bestFit="1" customWidth="1"/>
    <col min="16" max="16" width="2.1796875" customWidth="1"/>
    <col min="17" max="17" width="4.90625" bestFit="1" customWidth="1"/>
    <col min="20" max="20" width="3.81640625" bestFit="1" customWidth="1"/>
    <col min="21" max="21" width="9.6328125" customWidth="1"/>
    <col min="22" max="22" width="3.54296875" bestFit="1" customWidth="1"/>
    <col min="24" max="24" width="8.36328125" bestFit="1" customWidth="1"/>
    <col min="25" max="25" width="10.6328125" bestFit="1" customWidth="1"/>
    <col min="26" max="26" width="1.54296875" customWidth="1"/>
    <col min="27" max="27" width="4.90625" bestFit="1" customWidth="1"/>
    <col min="30" max="30" width="3.54296875" bestFit="1" customWidth="1"/>
    <col min="31" max="31" width="9.453125" bestFit="1" customWidth="1"/>
    <col min="32" max="32" width="3.54296875" bestFit="1" customWidth="1"/>
    <col min="35" max="35" width="11.08984375" customWidth="1"/>
    <col min="36" max="36" width="4.90625" style="3" customWidth="1"/>
    <col min="37" max="37" width="4.90625" bestFit="1" customWidth="1"/>
    <col min="40" max="40" width="3.54296875" bestFit="1" customWidth="1"/>
    <col min="41" max="41" width="9.453125" bestFit="1" customWidth="1"/>
    <col min="42" max="42" width="3.54296875" bestFit="1" customWidth="1"/>
    <col min="46" max="46" width="4.1796875" customWidth="1"/>
    <col min="47" max="47" width="4.90625" bestFit="1" customWidth="1"/>
    <col min="50" max="50" width="3.81640625" bestFit="1" customWidth="1"/>
    <col min="51" max="51" width="9.453125" bestFit="1" customWidth="1"/>
    <col min="52" max="52" width="3.54296875" bestFit="1" customWidth="1"/>
    <col min="56" max="56" width="4" style="3" customWidth="1"/>
    <col min="57" max="57" width="4.90625" bestFit="1" customWidth="1"/>
    <col min="60" max="60" width="3.54296875" bestFit="1" customWidth="1"/>
    <col min="61" max="61" width="9.453125" bestFit="1" customWidth="1"/>
    <col min="62" max="62" width="3.54296875" bestFit="1" customWidth="1"/>
    <col min="66" max="66" width="2.08984375" customWidth="1"/>
    <col min="67" max="67" width="4.90625" bestFit="1" customWidth="1"/>
    <col min="70" max="70" width="3.54296875" bestFit="1" customWidth="1"/>
    <col min="71" max="71" width="9.453125" bestFit="1" customWidth="1"/>
    <col min="72" max="72" width="3.54296875" bestFit="1" customWidth="1"/>
    <col min="76" max="76" width="2.08984375" customWidth="1"/>
    <col min="77" max="77" width="4.90625" bestFit="1" customWidth="1"/>
    <col min="80" max="80" width="3.54296875" bestFit="1" customWidth="1"/>
    <col min="82" max="82" width="3.54296875" bestFit="1" customWidth="1"/>
    <col min="86" max="86" width="2.54296875" customWidth="1"/>
    <col min="87" max="87" width="4.90625" bestFit="1" customWidth="1"/>
    <col min="90" max="90" width="3.54296875" bestFit="1" customWidth="1"/>
    <col min="92" max="92" width="3.54296875" bestFit="1" customWidth="1"/>
    <col min="96" max="96" width="5.90625" customWidth="1"/>
    <col min="97" max="97" width="4.90625" bestFit="1" customWidth="1"/>
    <col min="100" max="100" width="3.54296875" bestFit="1" customWidth="1"/>
    <col min="102" max="102" width="3.54296875" bestFit="1" customWidth="1"/>
    <col min="106" max="106" width="2.6328125" customWidth="1"/>
    <col min="107" max="107" width="4.90625" bestFit="1" customWidth="1"/>
    <col min="110" max="110" width="3.54296875" bestFit="1" customWidth="1"/>
    <col min="112" max="112" width="3.54296875" bestFit="1" customWidth="1"/>
    <col min="116" max="116" width="1.36328125" customWidth="1"/>
    <col min="117" max="117" width="4.90625" bestFit="1" customWidth="1"/>
    <col min="120" max="120" width="3.54296875" bestFit="1" customWidth="1"/>
    <col min="122" max="122" width="3.54296875" bestFit="1" customWidth="1"/>
  </cols>
  <sheetData>
    <row r="1" spans="1:215" ht="24" customHeight="1" x14ac:dyDescent="0.2">
      <c r="A1" s="102" t="s">
        <v>50</v>
      </c>
      <c r="B1" s="73">
        <v>155</v>
      </c>
      <c r="C1" s="54" t="s">
        <v>11</v>
      </c>
      <c r="D1" s="123"/>
      <c r="E1" s="124"/>
      <c r="G1" s="121">
        <v>1</v>
      </c>
      <c r="H1" s="122"/>
      <c r="I1" s="119" t="s">
        <v>93</v>
      </c>
      <c r="J1" s="119"/>
      <c r="K1" s="119"/>
      <c r="L1" s="119"/>
      <c r="M1" s="119"/>
      <c r="N1" s="119"/>
      <c r="O1" s="120"/>
      <c r="Q1" s="121">
        <v>2</v>
      </c>
      <c r="R1" s="122"/>
      <c r="S1" s="119" t="s">
        <v>110</v>
      </c>
      <c r="T1" s="119"/>
      <c r="U1" s="119"/>
      <c r="V1" s="119"/>
      <c r="W1" s="119"/>
      <c r="X1" s="119"/>
      <c r="Y1" s="120"/>
      <c r="AA1" s="121">
        <v>3</v>
      </c>
      <c r="AB1" s="122"/>
      <c r="AC1" s="119" t="s">
        <v>96</v>
      </c>
      <c r="AD1" s="119"/>
      <c r="AE1" s="119"/>
      <c r="AF1" s="119"/>
      <c r="AG1" s="119"/>
      <c r="AH1" s="119"/>
      <c r="AI1" s="120"/>
      <c r="AJ1" s="115" t="s">
        <v>111</v>
      </c>
      <c r="AK1" s="121">
        <v>4</v>
      </c>
      <c r="AL1" s="122"/>
      <c r="AM1" s="119" t="s">
        <v>93</v>
      </c>
      <c r="AN1" s="119"/>
      <c r="AO1" s="119"/>
      <c r="AP1" s="119"/>
      <c r="AQ1" s="119"/>
      <c r="AR1" s="119"/>
      <c r="AS1" s="120"/>
      <c r="AT1" s="115"/>
      <c r="AU1" s="121">
        <v>5</v>
      </c>
      <c r="AV1" s="122"/>
      <c r="AW1" s="119" t="s">
        <v>110</v>
      </c>
      <c r="AX1" s="119"/>
      <c r="AY1" s="119"/>
      <c r="AZ1" s="119"/>
      <c r="BA1" s="119"/>
      <c r="BB1" s="119"/>
      <c r="BC1" s="120"/>
      <c r="BE1" s="121">
        <v>6</v>
      </c>
      <c r="BF1" s="122"/>
      <c r="BG1" s="119" t="s">
        <v>96</v>
      </c>
      <c r="BH1" s="119"/>
      <c r="BI1" s="119"/>
      <c r="BJ1" s="119"/>
      <c r="BK1" s="119"/>
      <c r="BL1" s="119"/>
      <c r="BM1" s="120"/>
      <c r="BO1" s="121">
        <v>7</v>
      </c>
      <c r="BP1" s="122"/>
      <c r="BQ1" s="119" t="s">
        <v>93</v>
      </c>
      <c r="BR1" s="119"/>
      <c r="BS1" s="119"/>
      <c r="BT1" s="119"/>
      <c r="BU1" s="119"/>
      <c r="BV1" s="119"/>
      <c r="BW1" s="120"/>
      <c r="BY1" s="121">
        <v>8</v>
      </c>
      <c r="BZ1" s="122"/>
      <c r="CA1" s="119" t="s">
        <v>110</v>
      </c>
      <c r="CB1" s="119"/>
      <c r="CC1" s="119"/>
      <c r="CD1" s="119"/>
      <c r="CE1" s="119"/>
      <c r="CF1" s="119"/>
      <c r="CG1" s="120"/>
      <c r="CI1" s="121">
        <v>9</v>
      </c>
      <c r="CJ1" s="122"/>
      <c r="CK1" s="119" t="s">
        <v>96</v>
      </c>
      <c r="CL1" s="119"/>
      <c r="CM1" s="119"/>
      <c r="CN1" s="119"/>
      <c r="CO1" s="119"/>
      <c r="CP1" s="119"/>
      <c r="CQ1" s="120"/>
      <c r="CS1" s="121">
        <v>10</v>
      </c>
      <c r="CT1" s="122"/>
      <c r="CU1" s="119"/>
      <c r="CV1" s="119"/>
      <c r="CW1" s="119"/>
      <c r="CX1" s="119"/>
      <c r="CY1" s="119"/>
      <c r="CZ1" s="119"/>
      <c r="DA1" s="120"/>
      <c r="DC1" s="121">
        <v>11</v>
      </c>
      <c r="DD1" s="122"/>
      <c r="DE1" s="119"/>
      <c r="DF1" s="119"/>
      <c r="DG1" s="119"/>
      <c r="DH1" s="119"/>
      <c r="DI1" s="119"/>
      <c r="DJ1" s="119"/>
      <c r="DK1" s="120"/>
      <c r="DM1" s="121">
        <v>12</v>
      </c>
      <c r="DN1" s="122"/>
      <c r="DO1" s="119"/>
      <c r="DP1" s="119"/>
      <c r="DQ1" s="119"/>
      <c r="DR1" s="119"/>
      <c r="DS1" s="119"/>
      <c r="DT1" s="119"/>
      <c r="DU1" s="120"/>
      <c r="HG1" s="2"/>
    </row>
    <row r="2" spans="1:215" ht="13.25" customHeight="1" x14ac:dyDescent="0.2">
      <c r="A2" s="102" t="s">
        <v>2</v>
      </c>
      <c r="B2" s="74">
        <v>422</v>
      </c>
      <c r="C2" s="54" t="s">
        <v>3</v>
      </c>
      <c r="D2" s="75">
        <v>20.05199999999968</v>
      </c>
      <c r="E2" s="53" t="s">
        <v>12</v>
      </c>
      <c r="G2" s="125" t="s">
        <v>34</v>
      </c>
      <c r="H2" s="126"/>
      <c r="I2" s="31">
        <v>48</v>
      </c>
      <c r="J2" s="20" t="s">
        <v>3</v>
      </c>
      <c r="K2" s="48">
        <v>4.271000000000015</v>
      </c>
      <c r="L2" s="20" t="s">
        <v>12</v>
      </c>
      <c r="M2" s="3"/>
      <c r="O2" s="9"/>
      <c r="Q2" s="125" t="s">
        <v>34</v>
      </c>
      <c r="R2" s="126"/>
      <c r="S2" s="31">
        <v>52</v>
      </c>
      <c r="T2" s="20" t="s">
        <v>3</v>
      </c>
      <c r="U2" s="48">
        <v>3.6000000000115051E-2</v>
      </c>
      <c r="V2" s="20" t="s">
        <v>12</v>
      </c>
      <c r="W2" s="3"/>
      <c r="X2" s="25"/>
      <c r="Y2" s="9"/>
      <c r="AA2" s="125" t="s">
        <v>34</v>
      </c>
      <c r="AB2" s="126"/>
      <c r="AC2" s="31">
        <v>69</v>
      </c>
      <c r="AD2" s="20" t="s">
        <v>3</v>
      </c>
      <c r="AE2" s="48">
        <v>9.4610000000000127</v>
      </c>
      <c r="AF2" s="20" t="s">
        <v>12</v>
      </c>
      <c r="AG2" s="3"/>
      <c r="AH2" s="25"/>
      <c r="AI2" s="9"/>
      <c r="AK2" s="125" t="s">
        <v>34</v>
      </c>
      <c r="AL2" s="126"/>
      <c r="AM2" s="31">
        <v>47</v>
      </c>
      <c r="AN2" s="20" t="s">
        <v>3</v>
      </c>
      <c r="AO2" s="48">
        <v>29.240000000000009</v>
      </c>
      <c r="AP2" s="20" t="s">
        <v>12</v>
      </c>
      <c r="AQ2" s="3"/>
      <c r="AR2" s="25"/>
      <c r="AS2" s="9"/>
      <c r="AU2" s="125" t="s">
        <v>34</v>
      </c>
      <c r="AV2" s="126"/>
      <c r="AW2" s="31">
        <v>48</v>
      </c>
      <c r="AX2" s="20" t="s">
        <v>3</v>
      </c>
      <c r="AY2" s="48">
        <v>50</v>
      </c>
      <c r="AZ2" s="20" t="s">
        <v>12</v>
      </c>
      <c r="BA2" s="3"/>
      <c r="BB2" s="25"/>
      <c r="BC2" s="9"/>
      <c r="BE2" s="125" t="s">
        <v>34</v>
      </c>
      <c r="BF2" s="126"/>
      <c r="BG2" s="31">
        <v>52</v>
      </c>
      <c r="BH2" s="20" t="s">
        <v>3</v>
      </c>
      <c r="BI2" s="48">
        <v>47.16700000000003</v>
      </c>
      <c r="BJ2" s="20" t="s">
        <v>12</v>
      </c>
      <c r="BK2" s="3"/>
      <c r="BL2" s="25"/>
      <c r="BM2" s="9"/>
      <c r="BO2" s="125" t="s">
        <v>34</v>
      </c>
      <c r="BP2" s="126"/>
      <c r="BQ2" s="31">
        <v>37</v>
      </c>
      <c r="BR2" s="20" t="s">
        <v>3</v>
      </c>
      <c r="BS2" s="48">
        <v>52.360000000000014</v>
      </c>
      <c r="BT2" s="20" t="s">
        <v>12</v>
      </c>
      <c r="BU2" s="3"/>
      <c r="BV2" s="25"/>
      <c r="BW2" s="9"/>
      <c r="BY2" s="125" t="s">
        <v>34</v>
      </c>
      <c r="BZ2" s="126"/>
      <c r="CA2" s="31">
        <v>36</v>
      </c>
      <c r="CB2" s="20" t="s">
        <v>3</v>
      </c>
      <c r="CC2" s="48">
        <v>34.596000000000004</v>
      </c>
      <c r="CD2" s="20" t="s">
        <v>12</v>
      </c>
      <c r="CE2" s="3"/>
      <c r="CF2" s="25"/>
      <c r="CG2" s="9"/>
      <c r="CI2" s="125" t="s">
        <v>34</v>
      </c>
      <c r="CJ2" s="126"/>
      <c r="CK2" s="31">
        <v>29</v>
      </c>
      <c r="CL2" s="20" t="s">
        <v>3</v>
      </c>
      <c r="CM2" s="48">
        <v>32.920999999999992</v>
      </c>
      <c r="CN2" s="20" t="s">
        <v>12</v>
      </c>
      <c r="CO2" s="3"/>
      <c r="CP2" s="25"/>
      <c r="CQ2" s="9"/>
      <c r="CS2" s="125" t="s">
        <v>34</v>
      </c>
      <c r="CT2" s="126"/>
      <c r="CU2" s="31"/>
      <c r="CV2" s="20" t="s">
        <v>3</v>
      </c>
      <c r="CW2" s="48"/>
      <c r="CX2" s="20" t="s">
        <v>12</v>
      </c>
      <c r="CY2" s="3"/>
      <c r="CZ2" s="25"/>
      <c r="DA2" s="9"/>
      <c r="DC2" s="125" t="s">
        <v>34</v>
      </c>
      <c r="DD2" s="126"/>
      <c r="DE2" s="31"/>
      <c r="DF2" s="20" t="s">
        <v>3</v>
      </c>
      <c r="DG2" s="48"/>
      <c r="DH2" s="20" t="s">
        <v>12</v>
      </c>
      <c r="DI2" s="3"/>
      <c r="DJ2" s="25"/>
      <c r="DK2" s="9"/>
      <c r="DM2" s="125" t="s">
        <v>34</v>
      </c>
      <c r="DN2" s="126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5" customHeight="1" x14ac:dyDescent="0.2">
      <c r="A3" s="102" t="s">
        <v>18</v>
      </c>
      <c r="B3" s="74">
        <v>-2</v>
      </c>
      <c r="C3" s="54" t="s">
        <v>3</v>
      </c>
      <c r="D3" s="75">
        <v>-20.05199999999968</v>
      </c>
      <c r="E3" s="53" t="s">
        <v>12</v>
      </c>
      <c r="G3" s="127" t="s">
        <v>26</v>
      </c>
      <c r="H3" s="128"/>
      <c r="I3" s="66">
        <v>2</v>
      </c>
      <c r="J3" s="20" t="s">
        <v>3</v>
      </c>
      <c r="K3" s="67">
        <v>24.68312499999999</v>
      </c>
      <c r="L3" s="20" t="s">
        <v>12</v>
      </c>
      <c r="M3" s="51" t="s">
        <v>35</v>
      </c>
      <c r="N3" s="52">
        <v>16</v>
      </c>
      <c r="O3" s="50" t="s">
        <v>86</v>
      </c>
      <c r="Q3" s="127" t="s">
        <v>26</v>
      </c>
      <c r="R3" s="128"/>
      <c r="S3" s="66">
        <v>2</v>
      </c>
      <c r="T3" s="20" t="s">
        <v>3</v>
      </c>
      <c r="U3" s="67">
        <v>28.401230769230779</v>
      </c>
      <c r="V3" s="20" t="s">
        <v>12</v>
      </c>
      <c r="W3" s="51" t="s">
        <v>35</v>
      </c>
      <c r="X3" s="52">
        <v>13</v>
      </c>
      <c r="Y3" s="50" t="s">
        <v>86</v>
      </c>
      <c r="AA3" s="127" t="s">
        <v>26</v>
      </c>
      <c r="AB3" s="128"/>
      <c r="AC3" s="66">
        <v>2</v>
      </c>
      <c r="AD3" s="20" t="s">
        <v>3</v>
      </c>
      <c r="AE3" s="67">
        <v>25.442681818181825</v>
      </c>
      <c r="AF3" s="20" t="s">
        <v>12</v>
      </c>
      <c r="AG3" s="51" t="s">
        <v>35</v>
      </c>
      <c r="AH3" s="52">
        <v>22</v>
      </c>
      <c r="AI3" s="50" t="s">
        <v>86</v>
      </c>
      <c r="AK3" s="127" t="s">
        <v>26</v>
      </c>
      <c r="AL3" s="128"/>
      <c r="AM3" s="66">
        <v>2</v>
      </c>
      <c r="AN3" s="20" t="s">
        <v>3</v>
      </c>
      <c r="AO3" s="67">
        <v>24.126374999999996</v>
      </c>
      <c r="AP3" s="20" t="s">
        <v>12</v>
      </c>
      <c r="AQ3" s="51" t="s">
        <v>35</v>
      </c>
      <c r="AR3" s="52">
        <v>16</v>
      </c>
      <c r="AS3" s="50" t="s">
        <v>86</v>
      </c>
      <c r="AU3" s="127" t="s">
        <v>26</v>
      </c>
      <c r="AV3" s="128"/>
      <c r="AW3" s="66">
        <v>2</v>
      </c>
      <c r="AX3" s="20" t="s">
        <v>3</v>
      </c>
      <c r="AY3" s="67">
        <v>20.588235294117652</v>
      </c>
      <c r="AZ3" s="20" t="s">
        <v>12</v>
      </c>
      <c r="BA3" s="51" t="s">
        <v>35</v>
      </c>
      <c r="BB3" s="52">
        <v>17</v>
      </c>
      <c r="BC3" s="50" t="s">
        <v>86</v>
      </c>
      <c r="BE3" s="127" t="s">
        <v>26</v>
      </c>
      <c r="BF3" s="128"/>
      <c r="BG3" s="66">
        <v>2</v>
      </c>
      <c r="BH3" s="20" t="s">
        <v>3</v>
      </c>
      <c r="BI3" s="67">
        <v>25.422166666666669</v>
      </c>
      <c r="BJ3" s="20" t="s">
        <v>12</v>
      </c>
      <c r="BK3" s="51" t="s">
        <v>35</v>
      </c>
      <c r="BL3" s="52">
        <v>18</v>
      </c>
      <c r="BM3" s="50" t="s">
        <v>86</v>
      </c>
      <c r="BO3" s="127" t="s">
        <v>26</v>
      </c>
      <c r="BP3" s="128"/>
      <c r="BQ3" s="66">
        <v>2</v>
      </c>
      <c r="BR3" s="20" t="s">
        <v>3</v>
      </c>
      <c r="BS3" s="67">
        <v>24.183500000000009</v>
      </c>
      <c r="BT3" s="20" t="s">
        <v>12</v>
      </c>
      <c r="BU3" s="51" t="s">
        <v>35</v>
      </c>
      <c r="BV3" s="52">
        <v>12</v>
      </c>
      <c r="BW3" s="50" t="s">
        <v>86</v>
      </c>
      <c r="BY3" s="127" t="s">
        <v>26</v>
      </c>
      <c r="BZ3" s="128"/>
      <c r="CA3" s="66">
        <v>2</v>
      </c>
      <c r="CB3" s="20" t="s">
        <v>3</v>
      </c>
      <c r="CC3" s="67">
        <v>28.580090909090899</v>
      </c>
      <c r="CD3" s="20" t="s">
        <v>12</v>
      </c>
      <c r="CE3" s="51" t="s">
        <v>35</v>
      </c>
      <c r="CF3" s="52">
        <v>11</v>
      </c>
      <c r="CG3" s="50" t="s">
        <v>86</v>
      </c>
      <c r="CI3" s="127" t="s">
        <v>26</v>
      </c>
      <c r="CJ3" s="128"/>
      <c r="CK3" s="66">
        <v>2</v>
      </c>
      <c r="CL3" s="20" t="s">
        <v>3</v>
      </c>
      <c r="CM3" s="67">
        <v>26.726818181818174</v>
      </c>
      <c r="CN3" s="20" t="s">
        <v>12</v>
      </c>
      <c r="CO3" s="51" t="s">
        <v>35</v>
      </c>
      <c r="CP3" s="52">
        <v>11</v>
      </c>
      <c r="CQ3" s="50" t="s">
        <v>86</v>
      </c>
      <c r="CS3" s="127" t="s">
        <v>26</v>
      </c>
      <c r="CT3" s="128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27" t="s">
        <v>26</v>
      </c>
      <c r="DD3" s="128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27" t="s">
        <v>26</v>
      </c>
      <c r="DN3" s="128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5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27" t="s">
        <v>27</v>
      </c>
      <c r="H4" s="128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27" t="s">
        <v>27</v>
      </c>
      <c r="R4" s="128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27" t="s">
        <v>27</v>
      </c>
      <c r="AB4" s="128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27" t="s">
        <v>27</v>
      </c>
      <c r="AL4" s="128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27" t="s">
        <v>27</v>
      </c>
      <c r="AV4" s="128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27" t="s">
        <v>27</v>
      </c>
      <c r="BF4" s="128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27" t="s">
        <v>27</v>
      </c>
      <c r="BP4" s="128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27" t="s">
        <v>27</v>
      </c>
      <c r="BZ4" s="128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27" t="s">
        <v>27</v>
      </c>
      <c r="CJ4" s="128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27" t="s">
        <v>27</v>
      </c>
      <c r="CT4" s="128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27" t="s">
        <v>27</v>
      </c>
      <c r="DD4" s="128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27" t="s">
        <v>27</v>
      </c>
      <c r="DN4" s="128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5" customHeight="1" x14ac:dyDescent="0.2">
      <c r="G5" s="127" t="s">
        <v>28</v>
      </c>
      <c r="H5" s="128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27" t="s">
        <v>28</v>
      </c>
      <c r="R5" s="128"/>
      <c r="S5" s="31">
        <v>4</v>
      </c>
      <c r="T5" s="20" t="s">
        <v>3</v>
      </c>
      <c r="U5" s="48">
        <v>24.38900000000001</v>
      </c>
      <c r="V5" s="20" t="s">
        <v>12</v>
      </c>
      <c r="W5" s="51" t="s">
        <v>45</v>
      </c>
      <c r="X5" s="52">
        <v>2</v>
      </c>
      <c r="Y5" s="50" t="s">
        <v>86</v>
      </c>
      <c r="AA5" s="127" t="s">
        <v>28</v>
      </c>
      <c r="AB5" s="128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27" t="s">
        <v>28</v>
      </c>
      <c r="AL5" s="128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27" t="s">
        <v>28</v>
      </c>
      <c r="AV5" s="128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27" t="s">
        <v>28</v>
      </c>
      <c r="BF5" s="128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27" t="s">
        <v>28</v>
      </c>
      <c r="BP5" s="128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27" t="s">
        <v>28</v>
      </c>
      <c r="BZ5" s="128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27" t="s">
        <v>28</v>
      </c>
      <c r="CJ5" s="128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27" t="s">
        <v>28</v>
      </c>
      <c r="CT5" s="128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27" t="s">
        <v>28</v>
      </c>
      <c r="DD5" s="128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27" t="s">
        <v>28</v>
      </c>
      <c r="DN5" s="128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5" customHeight="1" x14ac:dyDescent="0.2">
      <c r="A6" s="68" t="s">
        <v>46</v>
      </c>
      <c r="B6" s="56" t="s">
        <v>101</v>
      </c>
      <c r="G6" s="125" t="s">
        <v>0</v>
      </c>
      <c r="H6" s="126"/>
      <c r="I6" s="31">
        <v>2</v>
      </c>
      <c r="J6" s="20" t="s">
        <v>3</v>
      </c>
      <c r="K6" s="48">
        <v>40.237277777777791</v>
      </c>
      <c r="L6" s="20" t="s">
        <v>12</v>
      </c>
      <c r="M6" s="25" t="s">
        <v>49</v>
      </c>
      <c r="N6" s="25">
        <v>20</v>
      </c>
      <c r="O6" s="61" t="s">
        <v>86</v>
      </c>
      <c r="Q6" s="125" t="s">
        <v>0</v>
      </c>
      <c r="R6" s="126"/>
      <c r="S6" s="31">
        <v>3</v>
      </c>
      <c r="T6" s="20" t="s">
        <v>3</v>
      </c>
      <c r="U6" s="48">
        <v>3.5315294117647227</v>
      </c>
      <c r="V6" s="20" t="s">
        <v>12</v>
      </c>
      <c r="W6" s="25" t="s">
        <v>49</v>
      </c>
      <c r="X6" s="25">
        <v>21</v>
      </c>
      <c r="Y6" s="61" t="s">
        <v>86</v>
      </c>
      <c r="AA6" s="125" t="s">
        <v>0</v>
      </c>
      <c r="AB6" s="126"/>
      <c r="AC6" s="31">
        <v>2</v>
      </c>
      <c r="AD6" s="20" t="s">
        <v>3</v>
      </c>
      <c r="AE6" s="48">
        <v>52.894208333333324</v>
      </c>
      <c r="AF6" s="20" t="s">
        <v>12</v>
      </c>
      <c r="AG6" s="25" t="s">
        <v>49</v>
      </c>
      <c r="AH6" s="25">
        <v>21</v>
      </c>
      <c r="AI6" s="61" t="s">
        <v>86</v>
      </c>
      <c r="AK6" s="125" t="s">
        <v>0</v>
      </c>
      <c r="AL6" s="126"/>
      <c r="AM6" s="31">
        <v>2</v>
      </c>
      <c r="AN6" s="20" t="s">
        <v>3</v>
      </c>
      <c r="AO6" s="48">
        <v>38.291111111111121</v>
      </c>
      <c r="AP6" s="20" t="s">
        <v>12</v>
      </c>
      <c r="AQ6" s="25" t="s">
        <v>49</v>
      </c>
      <c r="AR6" s="25">
        <v>15</v>
      </c>
      <c r="AS6" s="61" t="s">
        <v>86</v>
      </c>
      <c r="AU6" s="125" t="s">
        <v>0</v>
      </c>
      <c r="AV6" s="126"/>
      <c r="AW6" s="31">
        <v>2</v>
      </c>
      <c r="AX6" s="20" t="s">
        <v>3</v>
      </c>
      <c r="AY6" s="48">
        <v>34.21052631578948</v>
      </c>
      <c r="AZ6" s="20" t="s">
        <v>12</v>
      </c>
      <c r="BA6" s="25" t="s">
        <v>49</v>
      </c>
      <c r="BB6" s="25">
        <v>19</v>
      </c>
      <c r="BC6" s="61" t="s">
        <v>86</v>
      </c>
      <c r="BE6" s="125" t="s">
        <v>0</v>
      </c>
      <c r="BF6" s="126"/>
      <c r="BG6" s="31">
        <v>2</v>
      </c>
      <c r="BH6" s="20" t="s">
        <v>3</v>
      </c>
      <c r="BI6" s="48">
        <v>38.358350000000002</v>
      </c>
      <c r="BJ6" s="20" t="s">
        <v>12</v>
      </c>
      <c r="BK6" s="25" t="s">
        <v>49</v>
      </c>
      <c r="BL6" s="25">
        <v>19</v>
      </c>
      <c r="BM6" s="61" t="s">
        <v>86</v>
      </c>
      <c r="BO6" s="125" t="s">
        <v>0</v>
      </c>
      <c r="BP6" s="126"/>
      <c r="BQ6" s="31">
        <v>2</v>
      </c>
      <c r="BR6" s="20" t="s">
        <v>3</v>
      </c>
      <c r="BS6" s="48">
        <v>42.311428571428564</v>
      </c>
      <c r="BT6" s="20" t="s">
        <v>12</v>
      </c>
      <c r="BU6" s="25" t="s">
        <v>49</v>
      </c>
      <c r="BV6" s="25">
        <v>14</v>
      </c>
      <c r="BW6" s="61" t="s">
        <v>86</v>
      </c>
      <c r="BY6" s="125" t="s">
        <v>0</v>
      </c>
      <c r="BZ6" s="126"/>
      <c r="CA6" s="31">
        <v>2</v>
      </c>
      <c r="CB6" s="20" t="s">
        <v>3</v>
      </c>
      <c r="CC6" s="48">
        <v>48.81507692307693</v>
      </c>
      <c r="CD6" s="20" t="s">
        <v>12</v>
      </c>
      <c r="CE6" s="25" t="s">
        <v>49</v>
      </c>
      <c r="CF6" s="25">
        <v>16</v>
      </c>
      <c r="CG6" s="61" t="s">
        <v>86</v>
      </c>
      <c r="CI6" s="125" t="s">
        <v>0</v>
      </c>
      <c r="CJ6" s="126"/>
      <c r="CK6" s="31">
        <v>2</v>
      </c>
      <c r="CL6" s="20" t="s">
        <v>3</v>
      </c>
      <c r="CM6" s="48">
        <v>27.743416666666661</v>
      </c>
      <c r="CN6" s="20" t="s">
        <v>12</v>
      </c>
      <c r="CO6" s="25" t="s">
        <v>49</v>
      </c>
      <c r="CP6" s="25">
        <v>16</v>
      </c>
      <c r="CQ6" s="61" t="s">
        <v>86</v>
      </c>
      <c r="CS6" s="125" t="s">
        <v>0</v>
      </c>
      <c r="CT6" s="126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25" t="s">
        <v>0</v>
      </c>
      <c r="DD6" s="126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25" t="s">
        <v>0</v>
      </c>
      <c r="DN6" s="126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5" customHeight="1" x14ac:dyDescent="0.2">
      <c r="A7" s="60" t="s">
        <v>94</v>
      </c>
      <c r="B7" s="76">
        <v>2</v>
      </c>
      <c r="C7" s="68" t="s">
        <v>3</v>
      </c>
      <c r="D7" s="77">
        <v>24.344409090909068</v>
      </c>
      <c r="E7" s="68" t="s">
        <v>12</v>
      </c>
      <c r="G7" s="125" t="s">
        <v>1</v>
      </c>
      <c r="H7" s="126"/>
      <c r="I7" s="31">
        <v>3</v>
      </c>
      <c r="J7" s="20" t="s">
        <v>3</v>
      </c>
      <c r="K7" s="48">
        <v>36.252999999999986</v>
      </c>
      <c r="L7" s="20" t="s">
        <v>12</v>
      </c>
      <c r="M7" s="25" t="s">
        <v>48</v>
      </c>
      <c r="N7" s="5">
        <v>2</v>
      </c>
      <c r="O7" s="61" t="s">
        <v>86</v>
      </c>
      <c r="Q7" s="125" t="s">
        <v>1</v>
      </c>
      <c r="R7" s="126"/>
      <c r="S7" s="31">
        <v>5</v>
      </c>
      <c r="T7" s="20" t="s">
        <v>3</v>
      </c>
      <c r="U7" s="48">
        <v>42.800666666666643</v>
      </c>
      <c r="V7" s="20" t="s">
        <v>12</v>
      </c>
      <c r="W7" s="25" t="s">
        <v>48</v>
      </c>
      <c r="X7" s="5">
        <v>4</v>
      </c>
      <c r="Y7" s="61" t="s">
        <v>86</v>
      </c>
      <c r="AA7" s="125" t="s">
        <v>1</v>
      </c>
      <c r="AB7" s="126"/>
      <c r="AC7" s="31">
        <v>6</v>
      </c>
      <c r="AD7" s="20" t="s">
        <v>3</v>
      </c>
      <c r="AE7" s="48">
        <v>0.2503333333333444</v>
      </c>
      <c r="AF7" s="20" t="s">
        <v>12</v>
      </c>
      <c r="AG7" s="25" t="s">
        <v>48</v>
      </c>
      <c r="AH7" s="5">
        <v>-3</v>
      </c>
      <c r="AI7" s="61" t="s">
        <v>86</v>
      </c>
      <c r="AK7" s="125" t="s">
        <v>1</v>
      </c>
      <c r="AL7" s="126"/>
      <c r="AM7" s="31">
        <v>3</v>
      </c>
      <c r="AN7" s="20" t="s">
        <v>3</v>
      </c>
      <c r="AO7" s="48">
        <v>44.930333333333323</v>
      </c>
      <c r="AP7" s="20" t="s">
        <v>12</v>
      </c>
      <c r="AQ7" s="25" t="s">
        <v>48</v>
      </c>
      <c r="AR7" s="5">
        <v>-3</v>
      </c>
      <c r="AS7" s="61" t="s">
        <v>86</v>
      </c>
      <c r="AU7" s="125" t="s">
        <v>1</v>
      </c>
      <c r="AV7" s="126"/>
      <c r="AW7" s="31">
        <v>3</v>
      </c>
      <c r="AX7" s="20" t="s">
        <v>3</v>
      </c>
      <c r="AY7" s="48">
        <v>40</v>
      </c>
      <c r="AZ7" s="20" t="s">
        <v>12</v>
      </c>
      <c r="BA7" s="25" t="s">
        <v>48</v>
      </c>
      <c r="BB7" s="5">
        <v>0</v>
      </c>
      <c r="BC7" s="61" t="s">
        <v>86</v>
      </c>
      <c r="BE7" s="125" t="s">
        <v>1</v>
      </c>
      <c r="BF7" s="126"/>
      <c r="BG7" s="31">
        <v>3</v>
      </c>
      <c r="BH7" s="20" t="s">
        <v>3</v>
      </c>
      <c r="BI7" s="48">
        <v>45.87566666666666</v>
      </c>
      <c r="BJ7" s="20" t="s">
        <v>12</v>
      </c>
      <c r="BK7" s="25" t="s">
        <v>48</v>
      </c>
      <c r="BL7" s="5">
        <v>-1</v>
      </c>
      <c r="BM7" s="61" t="s">
        <v>86</v>
      </c>
      <c r="BO7" s="125" t="s">
        <v>1</v>
      </c>
      <c r="BP7" s="126"/>
      <c r="BQ7" s="31">
        <v>3</v>
      </c>
      <c r="BR7" s="20" t="s">
        <v>3</v>
      </c>
      <c r="BS7" s="48">
        <v>43.708666666666659</v>
      </c>
      <c r="BT7" s="20" t="s">
        <v>12</v>
      </c>
      <c r="BU7" s="25" t="s">
        <v>48</v>
      </c>
      <c r="BV7" s="5">
        <v>0</v>
      </c>
      <c r="BW7" s="61" t="s">
        <v>86</v>
      </c>
      <c r="BY7" s="125" t="s">
        <v>1</v>
      </c>
      <c r="BZ7" s="126"/>
      <c r="CA7" s="31">
        <v>3</v>
      </c>
      <c r="CB7" s="20" t="s">
        <v>3</v>
      </c>
      <c r="CC7" s="48">
        <v>52.689333333333337</v>
      </c>
      <c r="CD7" s="20" t="s">
        <v>12</v>
      </c>
      <c r="CE7" s="25" t="s">
        <v>48</v>
      </c>
      <c r="CF7" s="5">
        <v>3</v>
      </c>
      <c r="CG7" s="61" t="s">
        <v>86</v>
      </c>
      <c r="CI7" s="125" t="s">
        <v>1</v>
      </c>
      <c r="CJ7" s="126"/>
      <c r="CK7" s="31">
        <v>2</v>
      </c>
      <c r="CL7" s="20" t="s">
        <v>3</v>
      </c>
      <c r="CM7" s="48">
        <v>27.050999999999988</v>
      </c>
      <c r="CN7" s="20" t="s">
        <v>12</v>
      </c>
      <c r="CO7" s="25" t="s">
        <v>48</v>
      </c>
      <c r="CP7" s="5">
        <v>4</v>
      </c>
      <c r="CQ7" s="61" t="s">
        <v>86</v>
      </c>
      <c r="CS7" s="125" t="s">
        <v>1</v>
      </c>
      <c r="CT7" s="126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25" t="s">
        <v>1</v>
      </c>
      <c r="DD7" s="126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25" t="s">
        <v>1</v>
      </c>
      <c r="DN7" s="126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5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5" customHeight="1" x14ac:dyDescent="0.2">
      <c r="A9" s="60" t="s">
        <v>97</v>
      </c>
      <c r="B9" s="76">
        <v>2</v>
      </c>
      <c r="C9" s="68" t="s">
        <v>3</v>
      </c>
      <c r="D9" s="77">
        <v>25.712411764705877</v>
      </c>
      <c r="E9" s="68" t="s">
        <v>12</v>
      </c>
      <c r="G9" s="24"/>
      <c r="H9" s="103" t="s">
        <v>16</v>
      </c>
      <c r="I9" s="22" t="s">
        <v>15</v>
      </c>
      <c r="J9" s="129" t="s">
        <v>25</v>
      </c>
      <c r="K9" s="129"/>
      <c r="M9" s="129" t="s">
        <v>8</v>
      </c>
      <c r="N9" s="129"/>
      <c r="O9" s="17"/>
      <c r="P9" s="25"/>
      <c r="Q9" s="24"/>
      <c r="R9" s="103" t="s">
        <v>16</v>
      </c>
      <c r="S9" s="22" t="s">
        <v>15</v>
      </c>
      <c r="T9" s="129" t="s">
        <v>25</v>
      </c>
      <c r="U9" s="129"/>
      <c r="V9" s="25"/>
      <c r="W9" s="129" t="s">
        <v>8</v>
      </c>
      <c r="X9" s="129"/>
      <c r="Y9" s="65"/>
      <c r="AA9" s="24"/>
      <c r="AB9" s="103" t="s">
        <v>16</v>
      </c>
      <c r="AC9" s="22" t="s">
        <v>15</v>
      </c>
      <c r="AD9" s="129" t="s">
        <v>25</v>
      </c>
      <c r="AE9" s="129"/>
      <c r="AF9" s="25"/>
      <c r="AG9" s="129" t="s">
        <v>8</v>
      </c>
      <c r="AH9" s="129"/>
      <c r="AI9" s="65"/>
      <c r="AK9" s="24"/>
      <c r="AL9" s="103" t="s">
        <v>16</v>
      </c>
      <c r="AM9" s="22" t="s">
        <v>15</v>
      </c>
      <c r="AN9" s="129" t="s">
        <v>25</v>
      </c>
      <c r="AO9" s="129"/>
      <c r="AP9" s="25"/>
      <c r="AQ9" s="129" t="s">
        <v>8</v>
      </c>
      <c r="AR9" s="129"/>
      <c r="AS9" s="65"/>
      <c r="AU9" s="24"/>
      <c r="AV9" s="103" t="s">
        <v>16</v>
      </c>
      <c r="AW9" s="22" t="s">
        <v>15</v>
      </c>
      <c r="AX9" s="129" t="s">
        <v>25</v>
      </c>
      <c r="AY9" s="129"/>
      <c r="AZ9" s="25"/>
      <c r="BA9" s="129" t="s">
        <v>8</v>
      </c>
      <c r="BB9" s="129"/>
      <c r="BC9" s="65"/>
      <c r="BE9" s="24"/>
      <c r="BF9" s="103" t="s">
        <v>16</v>
      </c>
      <c r="BG9" s="22" t="s">
        <v>15</v>
      </c>
      <c r="BH9" s="129" t="s">
        <v>25</v>
      </c>
      <c r="BI9" s="129"/>
      <c r="BJ9" s="25"/>
      <c r="BK9" s="129" t="s">
        <v>8</v>
      </c>
      <c r="BL9" s="129"/>
      <c r="BM9" s="65"/>
      <c r="BO9" s="24"/>
      <c r="BP9" s="103" t="s">
        <v>16</v>
      </c>
      <c r="BQ9" s="22" t="s">
        <v>15</v>
      </c>
      <c r="BR9" s="129" t="s">
        <v>25</v>
      </c>
      <c r="BS9" s="129"/>
      <c r="BT9" s="25"/>
      <c r="BU9" s="129" t="s">
        <v>8</v>
      </c>
      <c r="BV9" s="129"/>
      <c r="BW9" s="70"/>
      <c r="BY9" s="24"/>
      <c r="BZ9" s="103" t="s">
        <v>16</v>
      </c>
      <c r="CA9" s="22" t="s">
        <v>15</v>
      </c>
      <c r="CB9" s="129" t="s">
        <v>25</v>
      </c>
      <c r="CC9" s="129"/>
      <c r="CD9" s="25"/>
      <c r="CE9" s="129" t="s">
        <v>8</v>
      </c>
      <c r="CF9" s="129"/>
      <c r="CG9" s="65"/>
      <c r="CI9" s="24"/>
      <c r="CJ9" s="103" t="s">
        <v>16</v>
      </c>
      <c r="CK9" s="22" t="s">
        <v>15</v>
      </c>
      <c r="CL9" s="129" t="s">
        <v>25</v>
      </c>
      <c r="CM9" s="129"/>
      <c r="CN9" s="25"/>
      <c r="CO9" s="129" t="s">
        <v>8</v>
      </c>
      <c r="CP9" s="129"/>
      <c r="CQ9" s="17"/>
      <c r="CS9" s="24"/>
      <c r="CT9" s="103" t="s">
        <v>16</v>
      </c>
      <c r="CU9" s="22" t="s">
        <v>15</v>
      </c>
      <c r="CV9" s="129" t="s">
        <v>25</v>
      </c>
      <c r="CW9" s="129"/>
      <c r="CX9" s="25"/>
      <c r="CY9" s="129" t="s">
        <v>8</v>
      </c>
      <c r="CZ9" s="129"/>
      <c r="DA9" s="17"/>
      <c r="DC9" s="24"/>
      <c r="DD9" s="103" t="s">
        <v>16</v>
      </c>
      <c r="DE9" s="22" t="s">
        <v>15</v>
      </c>
      <c r="DF9" s="129" t="s">
        <v>25</v>
      </c>
      <c r="DG9" s="129"/>
      <c r="DH9" s="25"/>
      <c r="DI9" s="129" t="s">
        <v>8</v>
      </c>
      <c r="DJ9" s="129"/>
      <c r="DK9" s="17"/>
      <c r="DM9" s="24"/>
      <c r="DN9" s="103" t="s">
        <v>16</v>
      </c>
      <c r="DO9" s="22" t="s">
        <v>15</v>
      </c>
      <c r="DP9" s="129" t="s">
        <v>25</v>
      </c>
      <c r="DQ9" s="129"/>
      <c r="DR9" s="25"/>
      <c r="DS9" s="129" t="s">
        <v>8</v>
      </c>
      <c r="DT9" s="129"/>
      <c r="DU9" s="17"/>
    </row>
    <row r="10" spans="1:215" ht="13.25" customHeight="1" x14ac:dyDescent="0.2">
      <c r="A10" s="60" t="s">
        <v>108</v>
      </c>
      <c r="B10" s="76">
        <v>2</v>
      </c>
      <c r="C10" s="68" t="s">
        <v>3</v>
      </c>
      <c r="D10" s="77">
        <v>25.209682926829259</v>
      </c>
      <c r="E10" s="68" t="s">
        <v>12</v>
      </c>
      <c r="G10" s="10" t="s">
        <v>6</v>
      </c>
      <c r="H10" s="16">
        <v>13.7</v>
      </c>
      <c r="I10" s="72">
        <f>$D$4/H10</f>
        <v>0.3504656204379562</v>
      </c>
      <c r="J10" s="129">
        <v>0.33</v>
      </c>
      <c r="K10" s="129"/>
      <c r="M10" s="129" t="s">
        <v>30</v>
      </c>
      <c r="N10" s="129"/>
      <c r="O10" s="62">
        <f>N17-O9</f>
        <v>14.4</v>
      </c>
      <c r="P10" s="25"/>
      <c r="Q10" s="10" t="s">
        <v>6</v>
      </c>
      <c r="R10" s="16">
        <v>13.7</v>
      </c>
      <c r="S10" s="72">
        <f>$D$4/R10</f>
        <v>0.3504656204379562</v>
      </c>
      <c r="T10" s="129">
        <v>0.33</v>
      </c>
      <c r="U10" s="129"/>
      <c r="V10" s="25"/>
      <c r="W10" s="129" t="s">
        <v>30</v>
      </c>
      <c r="X10" s="129"/>
      <c r="Y10" s="21">
        <f>X17-Y9</f>
        <v>12.920000000000005</v>
      </c>
      <c r="AA10" s="10" t="s">
        <v>6</v>
      </c>
      <c r="AB10" s="16">
        <v>13.7</v>
      </c>
      <c r="AC10" s="72">
        <f>$D$4/AB10</f>
        <v>0.3504656204379562</v>
      </c>
      <c r="AD10" s="129"/>
      <c r="AE10" s="129"/>
      <c r="AF10" s="25"/>
      <c r="AG10" s="129" t="s">
        <v>30</v>
      </c>
      <c r="AH10" s="129"/>
      <c r="AI10" s="21">
        <f>AH17-AI9</f>
        <v>12.318966889468197</v>
      </c>
      <c r="AK10" s="10" t="s">
        <v>6</v>
      </c>
      <c r="AL10" s="16">
        <v>13.7</v>
      </c>
      <c r="AM10" s="72">
        <f>$D$4/AL10</f>
        <v>0.3504656204379562</v>
      </c>
      <c r="AN10" s="129">
        <v>0.33</v>
      </c>
      <c r="AO10" s="129"/>
      <c r="AP10" s="25"/>
      <c r="AQ10" s="129" t="s">
        <v>30</v>
      </c>
      <c r="AR10" s="129"/>
      <c r="AS10" s="71">
        <f>AR17-AS9</f>
        <v>9.2589668894682049</v>
      </c>
      <c r="AU10" s="10" t="s">
        <v>6</v>
      </c>
      <c r="AV10" s="16">
        <v>13.7</v>
      </c>
      <c r="AW10" s="72">
        <f>$D$4/AV10</f>
        <v>0.3504656204379562</v>
      </c>
      <c r="AX10" s="129">
        <v>0.33</v>
      </c>
      <c r="AY10" s="129"/>
      <c r="AZ10" s="25"/>
      <c r="BA10" s="129" t="s">
        <v>30</v>
      </c>
      <c r="BB10" s="129"/>
      <c r="BC10" s="18">
        <f>BB17-BC9</f>
        <v>8.2985012690302522</v>
      </c>
      <c r="BE10" s="10" t="s">
        <v>6</v>
      </c>
      <c r="BF10" s="16">
        <v>13.7</v>
      </c>
      <c r="BG10" s="72">
        <f>$D$4/BF10</f>
        <v>0.3504656204379562</v>
      </c>
      <c r="BH10" s="129">
        <v>0.33</v>
      </c>
      <c r="BI10" s="129"/>
      <c r="BJ10" s="25"/>
      <c r="BK10" s="129" t="s">
        <v>30</v>
      </c>
      <c r="BL10" s="129"/>
      <c r="BM10" s="21">
        <f>BL17-BM9</f>
        <v>7.3385012690302549</v>
      </c>
      <c r="BO10" s="10" t="s">
        <v>6</v>
      </c>
      <c r="BP10" s="16">
        <v>13.7</v>
      </c>
      <c r="BQ10" s="72">
        <f>$D$4/BP10</f>
        <v>0.3504656204379562</v>
      </c>
      <c r="BR10" s="129">
        <v>0.33</v>
      </c>
      <c r="BS10" s="129"/>
      <c r="BT10" s="25"/>
      <c r="BU10" s="129" t="s">
        <v>30</v>
      </c>
      <c r="BV10" s="129"/>
      <c r="BW10" s="21">
        <f>BV17-BW9</f>
        <v>5.6785012690302565</v>
      </c>
      <c r="BY10" s="10" t="s">
        <v>6</v>
      </c>
      <c r="BZ10" s="16">
        <v>13.7</v>
      </c>
      <c r="CA10" s="72">
        <f>$D$4/BZ10</f>
        <v>0.3504656204379562</v>
      </c>
      <c r="CB10" s="129">
        <v>0.33</v>
      </c>
      <c r="CC10" s="129"/>
      <c r="CD10" s="25"/>
      <c r="CE10" s="129" t="s">
        <v>30</v>
      </c>
      <c r="CF10" s="129"/>
      <c r="CG10" s="21">
        <f>CF17-CG9</f>
        <v>6.118501269030256</v>
      </c>
      <c r="CI10" s="10" t="s">
        <v>6</v>
      </c>
      <c r="CJ10" s="16">
        <v>13.7</v>
      </c>
      <c r="CK10" s="72">
        <f>$D$4/CJ10</f>
        <v>0.3504656204379562</v>
      </c>
      <c r="CL10" s="129">
        <v>0.33</v>
      </c>
      <c r="CM10" s="129"/>
      <c r="CN10" s="25"/>
      <c r="CO10" s="129" t="s">
        <v>30</v>
      </c>
      <c r="CP10" s="129"/>
      <c r="CQ10" s="21">
        <f>CP17-CQ9</f>
        <v>6.908501269030257</v>
      </c>
      <c r="CS10" s="10" t="s">
        <v>6</v>
      </c>
      <c r="CT10" s="16"/>
      <c r="CU10" s="72" t="e">
        <f>$D$4/CT10</f>
        <v>#DIV/0!</v>
      </c>
      <c r="CV10" s="129"/>
      <c r="CW10" s="129"/>
      <c r="CX10" s="25"/>
      <c r="CY10" s="129" t="s">
        <v>30</v>
      </c>
      <c r="CZ10" s="129"/>
      <c r="DA10" s="62">
        <f>CZ17-DA9</f>
        <v>0</v>
      </c>
      <c r="DC10" s="10" t="s">
        <v>6</v>
      </c>
      <c r="DD10" s="16"/>
      <c r="DE10" s="72" t="e">
        <f>$D$4/DD10</f>
        <v>#DIV/0!</v>
      </c>
      <c r="DF10" s="129"/>
      <c r="DG10" s="129"/>
      <c r="DH10" s="25"/>
      <c r="DI10" s="129" t="s">
        <v>30</v>
      </c>
      <c r="DJ10" s="129"/>
      <c r="DK10" s="62">
        <f>DJ17-DK9</f>
        <v>0</v>
      </c>
      <c r="DM10" s="10" t="s">
        <v>6</v>
      </c>
      <c r="DN10" s="16"/>
      <c r="DO10" s="72" t="e">
        <f>$D$4/DN10</f>
        <v>#DIV/0!</v>
      </c>
      <c r="DP10" s="129"/>
      <c r="DQ10" s="129"/>
      <c r="DR10" s="25"/>
      <c r="DS10" s="129" t="s">
        <v>30</v>
      </c>
      <c r="DT10" s="129"/>
      <c r="DU10" s="62">
        <f>DT17-DU9</f>
        <v>0</v>
      </c>
    </row>
    <row r="11" spans="1:215" ht="13.25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29" t="s">
        <v>23</v>
      </c>
      <c r="K11" s="129"/>
      <c r="M11" s="129" t="s">
        <v>31</v>
      </c>
      <c r="N11" s="129"/>
      <c r="O11" s="21">
        <f>O10-(L18+L19+L20)</f>
        <v>13.88</v>
      </c>
      <c r="P11" s="25"/>
      <c r="Q11" s="10" t="s">
        <v>7</v>
      </c>
      <c r="R11" s="16">
        <v>14</v>
      </c>
      <c r="S11" s="72">
        <f>$D$4/R11</f>
        <v>0.34295564285714286</v>
      </c>
      <c r="T11" s="129" t="s">
        <v>23</v>
      </c>
      <c r="U11" s="129"/>
      <c r="V11" s="25"/>
      <c r="W11" s="130"/>
      <c r="X11" s="130"/>
      <c r="Y11" s="45"/>
      <c r="AA11" s="10" t="s">
        <v>7</v>
      </c>
      <c r="AB11" s="16"/>
      <c r="AC11" s="72" t="e">
        <f>$D$4/AB11</f>
        <v>#DIV/0!</v>
      </c>
      <c r="AD11" s="129" t="s">
        <v>23</v>
      </c>
      <c r="AE11" s="129"/>
      <c r="AF11" s="25"/>
      <c r="AG11" s="130"/>
      <c r="AH11" s="130"/>
      <c r="AI11" s="45"/>
      <c r="AK11" s="10" t="s">
        <v>7</v>
      </c>
      <c r="AL11" s="16"/>
      <c r="AM11" s="72" t="e">
        <f>$D$4/AL11</f>
        <v>#DIV/0!</v>
      </c>
      <c r="AN11" s="129" t="s">
        <v>23</v>
      </c>
      <c r="AO11" s="129"/>
      <c r="AP11" s="25"/>
      <c r="AQ11" s="130"/>
      <c r="AR11" s="130"/>
      <c r="AS11" s="45"/>
      <c r="AU11" s="10" t="s">
        <v>7</v>
      </c>
      <c r="AV11" s="16"/>
      <c r="AW11" s="72" t="e">
        <f>$D$4/AV11</f>
        <v>#DIV/0!</v>
      </c>
      <c r="AX11" s="129" t="s">
        <v>23</v>
      </c>
      <c r="AY11" s="129"/>
      <c r="AZ11" s="25"/>
      <c r="BA11" s="130"/>
      <c r="BB11" s="130"/>
      <c r="BC11" s="45"/>
      <c r="BE11" s="10" t="s">
        <v>7</v>
      </c>
      <c r="BF11" s="16"/>
      <c r="BG11" s="72" t="e">
        <f>$D$4/BF11</f>
        <v>#DIV/0!</v>
      </c>
      <c r="BH11" s="129" t="s">
        <v>23</v>
      </c>
      <c r="BI11" s="129"/>
      <c r="BJ11" s="25"/>
      <c r="BK11" s="130"/>
      <c r="BL11" s="130"/>
      <c r="BM11" s="45"/>
      <c r="BO11" s="10" t="s">
        <v>7</v>
      </c>
      <c r="BP11" s="16"/>
      <c r="BQ11" s="72" t="e">
        <f>$D$4/BP11</f>
        <v>#DIV/0!</v>
      </c>
      <c r="BR11" s="129" t="s">
        <v>23</v>
      </c>
      <c r="BS11" s="129"/>
      <c r="BT11" s="25"/>
      <c r="BU11" s="130"/>
      <c r="BV11" s="130"/>
      <c r="BW11" s="45"/>
      <c r="BY11" s="10" t="s">
        <v>7</v>
      </c>
      <c r="BZ11" s="16"/>
      <c r="CA11" s="72" t="e">
        <f>$D$4/BZ11</f>
        <v>#DIV/0!</v>
      </c>
      <c r="CB11" s="129" t="s">
        <v>23</v>
      </c>
      <c r="CC11" s="129"/>
      <c r="CD11" s="25"/>
      <c r="CE11" s="130"/>
      <c r="CF11" s="130"/>
      <c r="CG11" s="45"/>
      <c r="CI11" s="10" t="s">
        <v>7</v>
      </c>
      <c r="CJ11" s="16"/>
      <c r="CK11" s="72" t="e">
        <f>$D$4/CJ11</f>
        <v>#DIV/0!</v>
      </c>
      <c r="CL11" s="129" t="s">
        <v>23</v>
      </c>
      <c r="CM11" s="129"/>
      <c r="CN11" s="25"/>
      <c r="CO11" s="130"/>
      <c r="CP11" s="130"/>
      <c r="CQ11" s="45"/>
      <c r="CS11" s="10" t="s">
        <v>7</v>
      </c>
      <c r="CT11" s="16"/>
      <c r="CU11" s="72" t="e">
        <f>$D$4/CT11</f>
        <v>#DIV/0!</v>
      </c>
      <c r="CV11" s="129" t="s">
        <v>23</v>
      </c>
      <c r="CW11" s="129"/>
      <c r="CX11" s="25"/>
      <c r="CY11" s="130"/>
      <c r="CZ11" s="130"/>
      <c r="DA11" s="45"/>
      <c r="DC11" s="10" t="s">
        <v>7</v>
      </c>
      <c r="DD11" s="16"/>
      <c r="DE11" s="72" t="e">
        <f>$D$4/DD11</f>
        <v>#DIV/0!</v>
      </c>
      <c r="DF11" s="129" t="s">
        <v>23</v>
      </c>
      <c r="DG11" s="129"/>
      <c r="DH11" s="25"/>
      <c r="DI11" s="130"/>
      <c r="DJ11" s="130"/>
      <c r="DK11" s="45"/>
      <c r="DM11" s="10" t="s">
        <v>7</v>
      </c>
      <c r="DN11" s="16"/>
      <c r="DO11" s="72" t="e">
        <f>$D$4/DN11</f>
        <v>#DIV/0!</v>
      </c>
      <c r="DP11" s="129" t="s">
        <v>23</v>
      </c>
      <c r="DQ11" s="129"/>
      <c r="DR11" s="25"/>
      <c r="DS11" s="130"/>
      <c r="DT11" s="130"/>
      <c r="DU11" s="45"/>
    </row>
    <row r="12" spans="1:215" ht="13.25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29">
        <v>0.33</v>
      </c>
      <c r="K12" s="129"/>
      <c r="M12" s="129" t="s">
        <v>21</v>
      </c>
      <c r="N12" s="129"/>
      <c r="O12" s="47">
        <v>18</v>
      </c>
      <c r="P12" s="25"/>
      <c r="Q12" s="10" t="s">
        <v>17</v>
      </c>
      <c r="R12" s="16">
        <v>14</v>
      </c>
      <c r="S12" s="72">
        <f>$D$4/R12</f>
        <v>0.34295564285714286</v>
      </c>
      <c r="T12" s="129">
        <v>0.33</v>
      </c>
      <c r="U12" s="129"/>
      <c r="V12" s="25"/>
      <c r="W12" s="129" t="s">
        <v>21</v>
      </c>
      <c r="X12" s="129"/>
      <c r="Y12" s="47">
        <v>17</v>
      </c>
      <c r="AA12" s="10" t="s">
        <v>17</v>
      </c>
      <c r="AB12" s="16"/>
      <c r="AC12" s="72" t="e">
        <f>$D$4/AB12</f>
        <v>#DIV/0!</v>
      </c>
      <c r="AD12" s="129"/>
      <c r="AE12" s="129"/>
      <c r="AF12" s="25"/>
      <c r="AG12" s="129" t="s">
        <v>21</v>
      </c>
      <c r="AH12" s="129"/>
      <c r="AI12" s="47">
        <v>24</v>
      </c>
      <c r="AK12" s="10" t="s">
        <v>17</v>
      </c>
      <c r="AL12" s="16"/>
      <c r="AM12" s="72" t="e">
        <f>$D$4/AL12</f>
        <v>#DIV/0!</v>
      </c>
      <c r="AN12" s="129">
        <v>0.33</v>
      </c>
      <c r="AO12" s="129"/>
      <c r="AP12" s="25"/>
      <c r="AQ12" s="129" t="s">
        <v>21</v>
      </c>
      <c r="AR12" s="129"/>
      <c r="AS12" s="47">
        <v>18</v>
      </c>
      <c r="AU12" s="10" t="s">
        <v>17</v>
      </c>
      <c r="AV12" s="16"/>
      <c r="AW12" s="72" t="e">
        <f>$D$4/AV12</f>
        <v>#DIV/0!</v>
      </c>
      <c r="AX12" s="129">
        <v>0.33</v>
      </c>
      <c r="AY12" s="129"/>
      <c r="AZ12" s="25"/>
      <c r="BA12" s="129" t="s">
        <v>21</v>
      </c>
      <c r="BB12" s="129"/>
      <c r="BC12" s="47">
        <v>19</v>
      </c>
      <c r="BE12" s="10" t="s">
        <v>17</v>
      </c>
      <c r="BF12" s="16"/>
      <c r="BG12" s="72" t="e">
        <f>$D$4/BF12</f>
        <v>#DIV/0!</v>
      </c>
      <c r="BH12" s="129">
        <v>0.33</v>
      </c>
      <c r="BI12" s="129"/>
      <c r="BJ12" s="25"/>
      <c r="BK12" s="129" t="s">
        <v>21</v>
      </c>
      <c r="BL12" s="129"/>
      <c r="BM12" s="47">
        <v>20</v>
      </c>
      <c r="BO12" s="10" t="s">
        <v>17</v>
      </c>
      <c r="BP12" s="16"/>
      <c r="BQ12" s="72" t="e">
        <f>$D$4/BP12</f>
        <v>#DIV/0!</v>
      </c>
      <c r="BR12" s="129">
        <v>0.33</v>
      </c>
      <c r="BS12" s="129"/>
      <c r="BT12" s="25"/>
      <c r="BU12" s="129" t="s">
        <v>21</v>
      </c>
      <c r="BV12" s="129"/>
      <c r="BW12" s="47">
        <v>14</v>
      </c>
      <c r="BY12" s="10" t="s">
        <v>17</v>
      </c>
      <c r="BZ12" s="16"/>
      <c r="CA12" s="72" t="e">
        <f>$D$4/BZ12</f>
        <v>#DIV/0!</v>
      </c>
      <c r="CB12" s="129">
        <v>0.33</v>
      </c>
      <c r="CC12" s="129"/>
      <c r="CD12" s="25"/>
      <c r="CE12" s="129" t="s">
        <v>21</v>
      </c>
      <c r="CF12" s="129"/>
      <c r="CG12" s="47">
        <v>13</v>
      </c>
      <c r="CI12" s="10" t="s">
        <v>17</v>
      </c>
      <c r="CJ12" s="16"/>
      <c r="CK12" s="72" t="e">
        <f>$D$4/CJ12</f>
        <v>#DIV/0!</v>
      </c>
      <c r="CL12" s="129">
        <v>0.33</v>
      </c>
      <c r="CM12" s="129"/>
      <c r="CN12" s="25"/>
      <c r="CO12" s="129" t="s">
        <v>21</v>
      </c>
      <c r="CP12" s="129"/>
      <c r="CQ12" s="47">
        <v>12</v>
      </c>
      <c r="CS12" s="10" t="s">
        <v>17</v>
      </c>
      <c r="CT12" s="16"/>
      <c r="CU12" s="72" t="e">
        <f>$D$4/CT12</f>
        <v>#DIV/0!</v>
      </c>
      <c r="CV12" s="129"/>
      <c r="CW12" s="129"/>
      <c r="CX12" s="25"/>
      <c r="CY12" s="129" t="s">
        <v>21</v>
      </c>
      <c r="CZ12" s="129"/>
      <c r="DA12" s="47"/>
      <c r="DC12" s="10" t="s">
        <v>17</v>
      </c>
      <c r="DD12" s="16"/>
      <c r="DE12" s="72" t="e">
        <f>$D$4/DD12</f>
        <v>#DIV/0!</v>
      </c>
      <c r="DF12" s="129"/>
      <c r="DG12" s="129"/>
      <c r="DH12" s="25"/>
      <c r="DI12" s="129" t="s">
        <v>21</v>
      </c>
      <c r="DJ12" s="129"/>
      <c r="DK12" s="47"/>
      <c r="DM12" s="10" t="s">
        <v>17</v>
      </c>
      <c r="DN12" s="16"/>
      <c r="DO12" s="72" t="e">
        <f>$D$4/DN12</f>
        <v>#DIV/0!</v>
      </c>
      <c r="DP12" s="129"/>
      <c r="DQ12" s="129"/>
      <c r="DR12" s="25"/>
      <c r="DS12" s="129" t="s">
        <v>21</v>
      </c>
      <c r="DT12" s="129"/>
      <c r="DU12" s="47"/>
    </row>
    <row r="13" spans="1:215" ht="13.25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29" t="s">
        <v>32</v>
      </c>
      <c r="N13" s="129"/>
      <c r="O13" s="18">
        <f>O12*$D$4</f>
        <v>86.424821999999992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29" t="s">
        <v>32</v>
      </c>
      <c r="X13" s="129"/>
      <c r="Y13" s="18">
        <f>Y12*$D$4</f>
        <v>81.623442999999995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29" t="s">
        <v>32</v>
      </c>
      <c r="AH13" s="129"/>
      <c r="AI13" s="18">
        <f>AI12*$D$4</f>
        <v>115.23309599999999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29" t="s">
        <v>32</v>
      </c>
      <c r="AR13" s="129"/>
      <c r="AS13" s="18">
        <f>AS12*$D$4</f>
        <v>86.424821999999992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29" t="s">
        <v>32</v>
      </c>
      <c r="BB13" s="129"/>
      <c r="BC13" s="18">
        <f>BC12*$D$4</f>
        <v>91.226201000000003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29" t="s">
        <v>32</v>
      </c>
      <c r="BL13" s="129"/>
      <c r="BM13" s="18">
        <f>BM12*$D$4</f>
        <v>96.02758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29" t="s">
        <v>32</v>
      </c>
      <c r="BV13" s="129"/>
      <c r="BW13" s="18">
        <f>BW12*$D$4</f>
        <v>67.219306000000003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29" t="s">
        <v>32</v>
      </c>
      <c r="CF13" s="129"/>
      <c r="CG13" s="18">
        <f>CG12*$D$4</f>
        <v>62.417926999999999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29" t="s">
        <v>32</v>
      </c>
      <c r="CP13" s="129"/>
      <c r="CQ13" s="18">
        <f>CQ12*$D$4</f>
        <v>57.616547999999995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29" t="s">
        <v>32</v>
      </c>
      <c r="CZ13" s="129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29" t="s">
        <v>32</v>
      </c>
      <c r="DJ13" s="129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29" t="s">
        <v>32</v>
      </c>
      <c r="DT13" s="129"/>
      <c r="DU13" s="18">
        <f>DU12*$D$4</f>
        <v>0</v>
      </c>
    </row>
    <row r="14" spans="1:215" ht="13.25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1" t="s">
        <v>9</v>
      </c>
      <c r="N14" s="131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1" t="s">
        <v>9</v>
      </c>
      <c r="X14" s="131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1" t="s">
        <v>9</v>
      </c>
      <c r="AH14" s="131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1" t="s">
        <v>9</v>
      </c>
      <c r="AR14" s="131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1" t="s">
        <v>9</v>
      </c>
      <c r="BB14" s="131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1" t="s">
        <v>9</v>
      </c>
      <c r="BL14" s="131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1" t="s">
        <v>9</v>
      </c>
      <c r="BV14" s="131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1" t="s">
        <v>9</v>
      </c>
      <c r="CF14" s="131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1" t="s">
        <v>9</v>
      </c>
      <c r="CP14" s="131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1" t="s">
        <v>9</v>
      </c>
      <c r="CZ14" s="131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1" t="s">
        <v>9</v>
      </c>
      <c r="DJ14" s="131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1" t="s">
        <v>9</v>
      </c>
      <c r="DT14" s="131"/>
      <c r="DU14" s="19" t="str">
        <f>IF(DU9&lt;&gt;"",DU13/DU10,"")</f>
        <v/>
      </c>
    </row>
    <row r="15" spans="1:215" ht="13.25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5" customHeight="1" x14ac:dyDescent="0.2">
      <c r="A16" s="110" t="s">
        <v>38</v>
      </c>
      <c r="B16" s="132">
        <v>240</v>
      </c>
      <c r="C16" s="133"/>
      <c r="D16" s="134"/>
      <c r="E16" s="49" t="s">
        <v>12</v>
      </c>
      <c r="G16" s="135" t="s">
        <v>11</v>
      </c>
      <c r="H16" s="136" t="s">
        <v>44</v>
      </c>
      <c r="I16" s="138" t="s">
        <v>22</v>
      </c>
      <c r="J16" s="135" t="s">
        <v>14</v>
      </c>
      <c r="K16" s="135"/>
      <c r="L16" s="139" t="s">
        <v>5</v>
      </c>
      <c r="M16" s="140"/>
      <c r="N16" s="68" t="s">
        <v>4</v>
      </c>
      <c r="O16" s="142" t="s">
        <v>13</v>
      </c>
      <c r="Q16" s="135" t="s">
        <v>11</v>
      </c>
      <c r="R16" s="136" t="s">
        <v>44</v>
      </c>
      <c r="S16" s="138" t="s">
        <v>22</v>
      </c>
      <c r="T16" s="135" t="s">
        <v>14</v>
      </c>
      <c r="U16" s="135"/>
      <c r="V16" s="139" t="s">
        <v>5</v>
      </c>
      <c r="W16" s="140"/>
      <c r="X16" s="68" t="s">
        <v>4</v>
      </c>
      <c r="Y16" s="142" t="s">
        <v>13</v>
      </c>
      <c r="AA16" s="135" t="s">
        <v>11</v>
      </c>
      <c r="AB16" s="136" t="s">
        <v>44</v>
      </c>
      <c r="AC16" s="138" t="s">
        <v>22</v>
      </c>
      <c r="AD16" s="135" t="s">
        <v>14</v>
      </c>
      <c r="AE16" s="135"/>
      <c r="AF16" s="139" t="s">
        <v>5</v>
      </c>
      <c r="AG16" s="140"/>
      <c r="AH16" s="68" t="s">
        <v>4</v>
      </c>
      <c r="AI16" s="142" t="s">
        <v>13</v>
      </c>
      <c r="AK16" s="135" t="s">
        <v>11</v>
      </c>
      <c r="AL16" s="136" t="s">
        <v>44</v>
      </c>
      <c r="AM16" s="138" t="s">
        <v>22</v>
      </c>
      <c r="AN16" s="135" t="s">
        <v>14</v>
      </c>
      <c r="AO16" s="135"/>
      <c r="AP16" s="139" t="s">
        <v>5</v>
      </c>
      <c r="AQ16" s="140"/>
      <c r="AR16" s="68" t="s">
        <v>4</v>
      </c>
      <c r="AS16" s="142" t="s">
        <v>13</v>
      </c>
      <c r="AU16" s="135" t="s">
        <v>11</v>
      </c>
      <c r="AV16" s="136" t="s">
        <v>44</v>
      </c>
      <c r="AW16" s="138" t="s">
        <v>22</v>
      </c>
      <c r="AX16" s="135" t="s">
        <v>14</v>
      </c>
      <c r="AY16" s="135"/>
      <c r="AZ16" s="139" t="s">
        <v>5</v>
      </c>
      <c r="BA16" s="140"/>
      <c r="BB16" s="68" t="s">
        <v>4</v>
      </c>
      <c r="BC16" s="142" t="s">
        <v>13</v>
      </c>
      <c r="BE16" s="135" t="s">
        <v>11</v>
      </c>
      <c r="BF16" s="136" t="s">
        <v>44</v>
      </c>
      <c r="BG16" s="138" t="s">
        <v>22</v>
      </c>
      <c r="BH16" s="135" t="s">
        <v>14</v>
      </c>
      <c r="BI16" s="135"/>
      <c r="BJ16" s="139" t="s">
        <v>5</v>
      </c>
      <c r="BK16" s="140"/>
      <c r="BL16" s="68" t="s">
        <v>4</v>
      </c>
      <c r="BM16" s="142" t="s">
        <v>13</v>
      </c>
      <c r="BO16" s="135" t="s">
        <v>11</v>
      </c>
      <c r="BP16" s="136" t="s">
        <v>44</v>
      </c>
      <c r="BQ16" s="138" t="s">
        <v>22</v>
      </c>
      <c r="BR16" s="135" t="s">
        <v>14</v>
      </c>
      <c r="BS16" s="135"/>
      <c r="BT16" s="139" t="s">
        <v>5</v>
      </c>
      <c r="BU16" s="140"/>
      <c r="BV16" s="68" t="s">
        <v>4</v>
      </c>
      <c r="BW16" s="142" t="s">
        <v>13</v>
      </c>
      <c r="BY16" s="135" t="s">
        <v>11</v>
      </c>
      <c r="BZ16" s="136" t="s">
        <v>44</v>
      </c>
      <c r="CA16" s="138" t="s">
        <v>22</v>
      </c>
      <c r="CB16" s="135" t="s">
        <v>14</v>
      </c>
      <c r="CC16" s="135"/>
      <c r="CD16" s="139" t="s">
        <v>5</v>
      </c>
      <c r="CE16" s="140"/>
      <c r="CF16" s="68" t="s">
        <v>4</v>
      </c>
      <c r="CG16" s="142" t="s">
        <v>13</v>
      </c>
      <c r="CI16" s="135" t="s">
        <v>11</v>
      </c>
      <c r="CJ16" s="136" t="s">
        <v>44</v>
      </c>
      <c r="CK16" s="138" t="s">
        <v>22</v>
      </c>
      <c r="CL16" s="135" t="s">
        <v>14</v>
      </c>
      <c r="CM16" s="135"/>
      <c r="CN16" s="139" t="s">
        <v>5</v>
      </c>
      <c r="CO16" s="140"/>
      <c r="CP16" s="68" t="s">
        <v>4</v>
      </c>
      <c r="CQ16" s="142" t="s">
        <v>13</v>
      </c>
      <c r="CS16" s="135" t="s">
        <v>11</v>
      </c>
      <c r="CT16" s="136" t="s">
        <v>44</v>
      </c>
      <c r="CU16" s="138" t="s">
        <v>22</v>
      </c>
      <c r="CV16" s="135" t="s">
        <v>14</v>
      </c>
      <c r="CW16" s="135"/>
      <c r="CX16" s="139" t="s">
        <v>5</v>
      </c>
      <c r="CY16" s="140"/>
      <c r="CZ16" s="68" t="s">
        <v>4</v>
      </c>
      <c r="DA16" s="142" t="s">
        <v>13</v>
      </c>
      <c r="DC16" s="135" t="s">
        <v>11</v>
      </c>
      <c r="DD16" s="136" t="s">
        <v>44</v>
      </c>
      <c r="DE16" s="138" t="s">
        <v>22</v>
      </c>
      <c r="DF16" s="135" t="s">
        <v>14</v>
      </c>
      <c r="DG16" s="135"/>
      <c r="DH16" s="139" t="s">
        <v>5</v>
      </c>
      <c r="DI16" s="140"/>
      <c r="DJ16" s="68" t="s">
        <v>4</v>
      </c>
      <c r="DK16" s="142" t="s">
        <v>13</v>
      </c>
      <c r="DM16" s="135" t="s">
        <v>11</v>
      </c>
      <c r="DN16" s="136" t="s">
        <v>44</v>
      </c>
      <c r="DO16" s="138" t="s">
        <v>22</v>
      </c>
      <c r="DP16" s="135" t="s">
        <v>14</v>
      </c>
      <c r="DQ16" s="135"/>
      <c r="DR16" s="139" t="s">
        <v>5</v>
      </c>
      <c r="DS16" s="140"/>
      <c r="DT16" s="68" t="s">
        <v>4</v>
      </c>
      <c r="DU16" s="142" t="s">
        <v>13</v>
      </c>
    </row>
    <row r="17" spans="1:125" ht="13.25" customHeight="1" x14ac:dyDescent="0.2">
      <c r="G17" s="135"/>
      <c r="H17" s="137"/>
      <c r="I17" s="135"/>
      <c r="J17" s="68" t="s">
        <v>3</v>
      </c>
      <c r="K17" s="68" t="s">
        <v>12</v>
      </c>
      <c r="L17" s="141"/>
      <c r="M17" s="124"/>
      <c r="N17" s="1">
        <v>14.4</v>
      </c>
      <c r="O17" s="137"/>
      <c r="Q17" s="135"/>
      <c r="R17" s="137"/>
      <c r="S17" s="135"/>
      <c r="T17" s="68" t="s">
        <v>3</v>
      </c>
      <c r="U17" s="68" t="s">
        <v>12</v>
      </c>
      <c r="V17" s="141"/>
      <c r="W17" s="124"/>
      <c r="X17" s="1">
        <f>N38+5.3</f>
        <v>12.920000000000005</v>
      </c>
      <c r="Y17" s="137"/>
      <c r="AA17" s="135"/>
      <c r="AB17" s="137"/>
      <c r="AC17" s="135"/>
      <c r="AD17" s="68" t="s">
        <v>3</v>
      </c>
      <c r="AE17" s="68" t="s">
        <v>12</v>
      </c>
      <c r="AF17" s="141"/>
      <c r="AG17" s="124"/>
      <c r="AH17" s="1">
        <f>X37+5.3</f>
        <v>12.318966889468197</v>
      </c>
      <c r="AI17" s="137"/>
      <c r="AK17" s="135"/>
      <c r="AL17" s="137"/>
      <c r="AM17" s="135"/>
      <c r="AN17" s="68" t="s">
        <v>3</v>
      </c>
      <c r="AO17" s="68" t="s">
        <v>12</v>
      </c>
      <c r="AP17" s="141"/>
      <c r="AQ17" s="124"/>
      <c r="AR17" s="1">
        <f>AH44+5.3</f>
        <v>9.2589668894682049</v>
      </c>
      <c r="AS17" s="137"/>
      <c r="AU17" s="135"/>
      <c r="AV17" s="137"/>
      <c r="AW17" s="135"/>
      <c r="AX17" s="68" t="s">
        <v>3</v>
      </c>
      <c r="AY17" s="68" t="s">
        <v>12</v>
      </c>
      <c r="AZ17" s="141"/>
      <c r="BA17" s="124"/>
      <c r="BB17" s="1">
        <f>AR38+5.3</f>
        <v>8.2985012690302522</v>
      </c>
      <c r="BC17" s="137"/>
      <c r="BE17" s="135"/>
      <c r="BF17" s="137"/>
      <c r="BG17" s="135"/>
      <c r="BH17" s="68" t="s">
        <v>3</v>
      </c>
      <c r="BI17" s="68" t="s">
        <v>12</v>
      </c>
      <c r="BJ17" s="141"/>
      <c r="BK17" s="124"/>
      <c r="BL17" s="1">
        <f>BB38+5.3</f>
        <v>7.3385012690302549</v>
      </c>
      <c r="BM17" s="137"/>
      <c r="BO17" s="135"/>
      <c r="BP17" s="137"/>
      <c r="BQ17" s="135"/>
      <c r="BR17" s="68" t="s">
        <v>3</v>
      </c>
      <c r="BS17" s="68" t="s">
        <v>12</v>
      </c>
      <c r="BT17" s="141"/>
      <c r="BU17" s="124"/>
      <c r="BV17" s="1">
        <f>BL40+5.3</f>
        <v>5.6785012690302565</v>
      </c>
      <c r="BW17" s="137"/>
      <c r="BY17" s="135"/>
      <c r="BZ17" s="137"/>
      <c r="CA17" s="135"/>
      <c r="CB17" s="68" t="s">
        <v>3</v>
      </c>
      <c r="CC17" s="68" t="s">
        <v>12</v>
      </c>
      <c r="CD17" s="141"/>
      <c r="CE17" s="124"/>
      <c r="CF17" s="1">
        <f>BV34+5.3</f>
        <v>6.118501269030256</v>
      </c>
      <c r="CG17" s="137"/>
      <c r="CI17" s="135"/>
      <c r="CJ17" s="137"/>
      <c r="CK17" s="135"/>
      <c r="CL17" s="68" t="s">
        <v>3</v>
      </c>
      <c r="CM17" s="68" t="s">
        <v>12</v>
      </c>
      <c r="CN17" s="141"/>
      <c r="CO17" s="124"/>
      <c r="CP17" s="1">
        <f>CF33+5.3</f>
        <v>6.908501269030257</v>
      </c>
      <c r="CQ17" s="137"/>
      <c r="CS17" s="135"/>
      <c r="CT17" s="137"/>
      <c r="CU17" s="135"/>
      <c r="CV17" s="68" t="s">
        <v>3</v>
      </c>
      <c r="CW17" s="68" t="s">
        <v>12</v>
      </c>
      <c r="CX17" s="141"/>
      <c r="CY17" s="124"/>
      <c r="CZ17" s="1"/>
      <c r="DA17" s="137"/>
      <c r="DC17" s="135"/>
      <c r="DD17" s="137"/>
      <c r="DE17" s="135"/>
      <c r="DF17" s="68" t="s">
        <v>3</v>
      </c>
      <c r="DG17" s="68" t="s">
        <v>12</v>
      </c>
      <c r="DH17" s="141"/>
      <c r="DI17" s="124"/>
      <c r="DJ17" s="1"/>
      <c r="DK17" s="137"/>
      <c r="DM17" s="135"/>
      <c r="DN17" s="137"/>
      <c r="DO17" s="135"/>
      <c r="DP17" s="68" t="s">
        <v>3</v>
      </c>
      <c r="DQ17" s="68" t="s">
        <v>12</v>
      </c>
      <c r="DR17" s="141"/>
      <c r="DS17" s="124"/>
      <c r="DT17" s="1"/>
      <c r="DU17" s="137"/>
    </row>
    <row r="18" spans="1:125" ht="13.25" customHeight="1" x14ac:dyDescent="0.2">
      <c r="G18" s="13" t="s">
        <v>24</v>
      </c>
      <c r="H18" s="27" t="s">
        <v>10</v>
      </c>
      <c r="I18" s="14" t="s">
        <v>10</v>
      </c>
      <c r="J18" s="30"/>
      <c r="K18" s="30"/>
      <c r="L18" s="143">
        <v>0.26</v>
      </c>
      <c r="M18" s="143"/>
      <c r="N18" s="96">
        <f>IF(L18="","",N17-L18)</f>
        <v>14.14</v>
      </c>
      <c r="O18" s="144"/>
      <c r="Q18" s="37"/>
      <c r="R18" s="38"/>
      <c r="S18" s="39"/>
      <c r="T18" s="40"/>
      <c r="U18" s="40"/>
      <c r="V18" s="146"/>
      <c r="W18" s="146"/>
      <c r="X18" s="97" t="str">
        <f>IF(V18="","",X17-V18)</f>
        <v/>
      </c>
      <c r="Y18" s="144"/>
      <c r="AA18" s="37"/>
      <c r="AB18" s="38"/>
      <c r="AC18" s="39"/>
      <c r="AD18" s="40"/>
      <c r="AE18" s="40"/>
      <c r="AF18" s="146"/>
      <c r="AG18" s="146"/>
      <c r="AH18" s="97" t="str">
        <f>IF(AF18="","",AH17-AF18)</f>
        <v/>
      </c>
      <c r="AI18" s="144"/>
      <c r="AK18" s="37"/>
      <c r="AL18" s="38"/>
      <c r="AM18" s="39"/>
      <c r="AN18" s="40"/>
      <c r="AO18" s="40"/>
      <c r="AP18" s="146"/>
      <c r="AQ18" s="146"/>
      <c r="AR18" s="97" t="str">
        <f>IF(AP18="","",AR17-AP18)</f>
        <v/>
      </c>
      <c r="AS18" s="144"/>
      <c r="AU18" s="37"/>
      <c r="AV18" s="38"/>
      <c r="AW18" s="39"/>
      <c r="AX18" s="40"/>
      <c r="AY18" s="40"/>
      <c r="AZ18" s="146"/>
      <c r="BA18" s="146"/>
      <c r="BB18" s="97" t="str">
        <f>IF(AZ18="","",BB17-AZ18)</f>
        <v/>
      </c>
      <c r="BC18" s="144"/>
      <c r="BE18" s="37"/>
      <c r="BF18" s="38"/>
      <c r="BG18" s="39"/>
      <c r="BH18" s="40"/>
      <c r="BI18" s="40"/>
      <c r="BJ18" s="146"/>
      <c r="BK18" s="146"/>
      <c r="BL18" s="97" t="str">
        <f>IF(BJ18="","",BL17-BJ18)</f>
        <v/>
      </c>
      <c r="BM18" s="144"/>
      <c r="BO18" s="37"/>
      <c r="BP18" s="38"/>
      <c r="BQ18" s="39"/>
      <c r="BR18" s="40"/>
      <c r="BS18" s="40"/>
      <c r="BT18" s="146"/>
      <c r="BU18" s="146"/>
      <c r="BV18" s="97" t="str">
        <f>IF(BT18="","",BV17-BT18)</f>
        <v/>
      </c>
      <c r="BW18" s="144"/>
      <c r="BY18" s="37"/>
      <c r="BZ18" s="38"/>
      <c r="CA18" s="39"/>
      <c r="CB18" s="40"/>
      <c r="CC18" s="40"/>
      <c r="CD18" s="146"/>
      <c r="CE18" s="146"/>
      <c r="CF18" s="97" t="str">
        <f>IF(CD18="","",CF17-CD18)</f>
        <v/>
      </c>
      <c r="CG18" s="144"/>
      <c r="CI18" s="37"/>
      <c r="CJ18" s="38"/>
      <c r="CK18" s="39"/>
      <c r="CL18" s="40"/>
      <c r="CM18" s="40"/>
      <c r="CN18" s="146"/>
      <c r="CO18" s="146"/>
      <c r="CP18" s="97" t="str">
        <f>IF(CN18="","",CP17-CN18)</f>
        <v/>
      </c>
      <c r="CQ18" s="144"/>
      <c r="CS18" s="37"/>
      <c r="CT18" s="38"/>
      <c r="CU18" s="39"/>
      <c r="CV18" s="40"/>
      <c r="CW18" s="40"/>
      <c r="CX18" s="146"/>
      <c r="CY18" s="146"/>
      <c r="CZ18" s="97" t="str">
        <f>IF(CX18="","",CZ17-CX18)</f>
        <v/>
      </c>
      <c r="DA18" s="144"/>
      <c r="DC18" s="37"/>
      <c r="DD18" s="38"/>
      <c r="DE18" s="39"/>
      <c r="DF18" s="40"/>
      <c r="DG18" s="40"/>
      <c r="DH18" s="146"/>
      <c r="DI18" s="146"/>
      <c r="DJ18" s="97" t="str">
        <f>IF(DH18="","",DJ17-DH18)</f>
        <v/>
      </c>
      <c r="DK18" s="144"/>
      <c r="DM18" s="37"/>
      <c r="DN18" s="38"/>
      <c r="DO18" s="39"/>
      <c r="DP18" s="40"/>
      <c r="DQ18" s="40"/>
      <c r="DR18" s="146"/>
      <c r="DS18" s="146"/>
      <c r="DT18" s="97" t="str">
        <f>IF(DR18="","",DT17-DR18)</f>
        <v/>
      </c>
      <c r="DU18" s="144"/>
    </row>
    <row r="19" spans="1:125" ht="13.25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48">
        <v>0.26</v>
      </c>
      <c r="M19" s="148"/>
      <c r="N19" s="98">
        <f t="shared" ref="N19:N60" si="0">IF(L19="","",N18-L19)</f>
        <v>13.88</v>
      </c>
      <c r="O19" s="145"/>
      <c r="Q19" s="41"/>
      <c r="R19" s="42"/>
      <c r="S19" s="43"/>
      <c r="T19" s="44"/>
      <c r="U19" s="44"/>
      <c r="V19" s="147"/>
      <c r="W19" s="147"/>
      <c r="X19" s="99" t="str">
        <f t="shared" ref="X19:X60" si="1">IF(V19="","",X18-V19)</f>
        <v/>
      </c>
      <c r="Y19" s="145"/>
      <c r="AA19" s="41"/>
      <c r="AB19" s="42"/>
      <c r="AC19" s="43"/>
      <c r="AD19" s="44"/>
      <c r="AE19" s="44"/>
      <c r="AF19" s="147"/>
      <c r="AG19" s="147"/>
      <c r="AH19" s="99" t="str">
        <f>IF(AF19="","",AH18-AF19)</f>
        <v/>
      </c>
      <c r="AI19" s="145"/>
      <c r="AK19" s="41"/>
      <c r="AL19" s="42"/>
      <c r="AM19" s="43"/>
      <c r="AN19" s="44"/>
      <c r="AO19" s="44"/>
      <c r="AP19" s="147"/>
      <c r="AQ19" s="147"/>
      <c r="AR19" s="99" t="str">
        <f>IF(AP19="","",AR18-AP19)</f>
        <v/>
      </c>
      <c r="AS19" s="145"/>
      <c r="AU19" s="41"/>
      <c r="AV19" s="42"/>
      <c r="AW19" s="43"/>
      <c r="AX19" s="44"/>
      <c r="AY19" s="44"/>
      <c r="AZ19" s="147"/>
      <c r="BA19" s="147"/>
      <c r="BB19" s="99" t="str">
        <f>IF(AZ19="","",BB18-AZ19)</f>
        <v/>
      </c>
      <c r="BC19" s="145"/>
      <c r="BE19" s="41"/>
      <c r="BF19" s="42"/>
      <c r="BG19" s="43"/>
      <c r="BH19" s="44"/>
      <c r="BI19" s="44"/>
      <c r="BJ19" s="147"/>
      <c r="BK19" s="147"/>
      <c r="BL19" s="99" t="str">
        <f>IF(BJ19="","",BL18-BJ19)</f>
        <v/>
      </c>
      <c r="BM19" s="145"/>
      <c r="BO19" s="41"/>
      <c r="BP19" s="42"/>
      <c r="BQ19" s="43"/>
      <c r="BR19" s="44"/>
      <c r="BS19" s="44"/>
      <c r="BT19" s="147"/>
      <c r="BU19" s="147"/>
      <c r="BV19" s="99" t="str">
        <f>IF(BT19="","",BV18-BT19)</f>
        <v/>
      </c>
      <c r="BW19" s="145"/>
      <c r="BY19" s="41"/>
      <c r="BZ19" s="42"/>
      <c r="CA19" s="43"/>
      <c r="CB19" s="44"/>
      <c r="CC19" s="44"/>
      <c r="CD19" s="147"/>
      <c r="CE19" s="147"/>
      <c r="CF19" s="99" t="str">
        <f>IF(CD19="","",CF18-CD19)</f>
        <v/>
      </c>
      <c r="CG19" s="145"/>
      <c r="CI19" s="41"/>
      <c r="CJ19" s="42"/>
      <c r="CK19" s="43"/>
      <c r="CL19" s="44"/>
      <c r="CM19" s="44"/>
      <c r="CN19" s="147"/>
      <c r="CO19" s="147"/>
      <c r="CP19" s="99" t="str">
        <f>IF(CN19="","",CP18-CN19)</f>
        <v/>
      </c>
      <c r="CQ19" s="145"/>
      <c r="CS19" s="41"/>
      <c r="CT19" s="42"/>
      <c r="CU19" s="43"/>
      <c r="CV19" s="44"/>
      <c r="CW19" s="44"/>
      <c r="CX19" s="147"/>
      <c r="CY19" s="147"/>
      <c r="CZ19" s="99" t="str">
        <f>IF(CX19="","",CZ18-CX19)</f>
        <v/>
      </c>
      <c r="DA19" s="145"/>
      <c r="DC19" s="41"/>
      <c r="DD19" s="42"/>
      <c r="DE19" s="43"/>
      <c r="DF19" s="44"/>
      <c r="DG19" s="44"/>
      <c r="DH19" s="147"/>
      <c r="DI19" s="147"/>
      <c r="DJ19" s="99" t="str">
        <f>IF(DH19="","",DJ18-DH19)</f>
        <v/>
      </c>
      <c r="DK19" s="145"/>
      <c r="DM19" s="41"/>
      <c r="DN19" s="42"/>
      <c r="DO19" s="43"/>
      <c r="DP19" s="44"/>
      <c r="DQ19" s="44"/>
      <c r="DR19" s="147"/>
      <c r="DS19" s="147"/>
      <c r="DT19" s="99" t="str">
        <f>IF(DR19="","",DT18-DR19)</f>
        <v/>
      </c>
      <c r="DU19" s="145"/>
    </row>
    <row r="20" spans="1:125" ht="13.25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48">
        <v>0</v>
      </c>
      <c r="M20" s="148"/>
      <c r="N20" s="98">
        <f t="shared" si="0"/>
        <v>13.88</v>
      </c>
      <c r="O20" s="145"/>
      <c r="Q20" s="4" t="s">
        <v>29</v>
      </c>
      <c r="R20" s="27" t="s">
        <v>10</v>
      </c>
      <c r="S20" s="5" t="s">
        <v>10</v>
      </c>
      <c r="T20" s="112"/>
      <c r="U20" s="113"/>
      <c r="V20" s="148" t="s">
        <v>10</v>
      </c>
      <c r="W20" s="148"/>
      <c r="X20" s="98">
        <f>X17</f>
        <v>12.920000000000005</v>
      </c>
      <c r="Y20" s="145"/>
      <c r="AA20" s="4" t="s">
        <v>29</v>
      </c>
      <c r="AB20" s="27" t="s">
        <v>10</v>
      </c>
      <c r="AC20" s="5" t="s">
        <v>10</v>
      </c>
      <c r="AD20" s="34"/>
      <c r="AE20" s="46"/>
      <c r="AF20" s="148" t="s">
        <v>10</v>
      </c>
      <c r="AG20" s="148"/>
      <c r="AH20" s="98">
        <f>AH17</f>
        <v>12.318966889468197</v>
      </c>
      <c r="AI20" s="145"/>
      <c r="AK20" s="4" t="s">
        <v>29</v>
      </c>
      <c r="AL20" s="27" t="s">
        <v>10</v>
      </c>
      <c r="AM20" s="5" t="s">
        <v>10</v>
      </c>
      <c r="AN20" s="34"/>
      <c r="AO20" s="46"/>
      <c r="AP20" s="148" t="s">
        <v>10</v>
      </c>
      <c r="AQ20" s="148"/>
      <c r="AR20" s="98">
        <f>AR17</f>
        <v>9.2589668894682049</v>
      </c>
      <c r="AS20" s="145"/>
      <c r="AU20" s="4" t="s">
        <v>29</v>
      </c>
      <c r="AV20" s="27" t="s">
        <v>10</v>
      </c>
      <c r="AW20" s="5" t="s">
        <v>10</v>
      </c>
      <c r="AX20" s="34"/>
      <c r="AY20" s="46"/>
      <c r="AZ20" s="148" t="s">
        <v>10</v>
      </c>
      <c r="BA20" s="148"/>
      <c r="BB20" s="98">
        <f>BB17</f>
        <v>8.2985012690302522</v>
      </c>
      <c r="BC20" s="145"/>
      <c r="BE20" s="4" t="s">
        <v>29</v>
      </c>
      <c r="BF20" s="27" t="s">
        <v>10</v>
      </c>
      <c r="BG20" s="5" t="s">
        <v>10</v>
      </c>
      <c r="BH20" s="34"/>
      <c r="BI20" s="46"/>
      <c r="BJ20" s="148" t="s">
        <v>10</v>
      </c>
      <c r="BK20" s="148"/>
      <c r="BL20" s="98">
        <f>BL17</f>
        <v>7.3385012690302549</v>
      </c>
      <c r="BM20" s="145"/>
      <c r="BO20" s="4" t="s">
        <v>29</v>
      </c>
      <c r="BP20" s="27" t="s">
        <v>10</v>
      </c>
      <c r="BQ20" s="5" t="s">
        <v>10</v>
      </c>
      <c r="BR20" s="34"/>
      <c r="BS20" s="46"/>
      <c r="BT20" s="148" t="s">
        <v>10</v>
      </c>
      <c r="BU20" s="148"/>
      <c r="BV20" s="98">
        <f>BV17</f>
        <v>5.6785012690302565</v>
      </c>
      <c r="BW20" s="145"/>
      <c r="BY20" s="4" t="s">
        <v>29</v>
      </c>
      <c r="BZ20" s="27" t="s">
        <v>10</v>
      </c>
      <c r="CA20" s="5" t="s">
        <v>10</v>
      </c>
      <c r="CB20" s="34"/>
      <c r="CC20" s="46"/>
      <c r="CD20" s="148" t="s">
        <v>10</v>
      </c>
      <c r="CE20" s="148"/>
      <c r="CF20" s="98">
        <f>CF17</f>
        <v>6.118501269030256</v>
      </c>
      <c r="CG20" s="145"/>
      <c r="CI20" s="4" t="s">
        <v>29</v>
      </c>
      <c r="CJ20" s="27" t="s">
        <v>10</v>
      </c>
      <c r="CK20" s="5" t="s">
        <v>10</v>
      </c>
      <c r="CL20" s="34"/>
      <c r="CM20" s="46"/>
      <c r="CN20" s="148" t="s">
        <v>10</v>
      </c>
      <c r="CO20" s="148"/>
      <c r="CP20" s="98">
        <f>CP17</f>
        <v>6.908501269030257</v>
      </c>
      <c r="CQ20" s="145"/>
      <c r="CS20" s="4" t="s">
        <v>29</v>
      </c>
      <c r="CT20" s="27" t="s">
        <v>10</v>
      </c>
      <c r="CU20" s="5" t="s">
        <v>10</v>
      </c>
      <c r="CV20" s="34"/>
      <c r="CW20" s="46"/>
      <c r="CX20" s="148" t="s">
        <v>10</v>
      </c>
      <c r="CY20" s="148"/>
      <c r="CZ20" s="98">
        <f>CZ17</f>
        <v>0</v>
      </c>
      <c r="DA20" s="145"/>
      <c r="DC20" s="4" t="s">
        <v>29</v>
      </c>
      <c r="DD20" s="27" t="s">
        <v>10</v>
      </c>
      <c r="DE20" s="5" t="s">
        <v>10</v>
      </c>
      <c r="DF20" s="34"/>
      <c r="DG20" s="46"/>
      <c r="DH20" s="148" t="s">
        <v>10</v>
      </c>
      <c r="DI20" s="148"/>
      <c r="DJ20" s="98">
        <f>DJ17</f>
        <v>0</v>
      </c>
      <c r="DK20" s="145"/>
      <c r="DM20" s="4" t="s">
        <v>29</v>
      </c>
      <c r="DN20" s="27" t="s">
        <v>10</v>
      </c>
      <c r="DO20" s="5" t="s">
        <v>10</v>
      </c>
      <c r="DP20" s="34"/>
      <c r="DQ20" s="46"/>
      <c r="DR20" s="148" t="s">
        <v>10</v>
      </c>
      <c r="DS20" s="148"/>
      <c r="DT20" s="98">
        <f>DT17</f>
        <v>0</v>
      </c>
      <c r="DU20" s="145"/>
    </row>
    <row r="21" spans="1:125" ht="13.25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99</v>
      </c>
      <c r="J21" s="34">
        <v>3</v>
      </c>
      <c r="K21" s="32">
        <v>27.651</v>
      </c>
      <c r="L21" s="148">
        <f>燃料消費量!$L$3</f>
        <v>0.33</v>
      </c>
      <c r="M21" s="148"/>
      <c r="N21" s="98">
        <f t="shared" si="0"/>
        <v>13.55</v>
      </c>
      <c r="O21" s="7">
        <f t="shared" ref="O21:O38" si="2"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42.417999999999999</v>
      </c>
      <c r="V21" s="148">
        <f>燃料消費量!$L$3</f>
        <v>0.33</v>
      </c>
      <c r="W21" s="148"/>
      <c r="X21" s="98">
        <f>IF(V21="","",X20-V21)</f>
        <v>12.590000000000005</v>
      </c>
      <c r="Y21" s="7">
        <f>X21/V21</f>
        <v>38.151515151515163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40.899000000000001</v>
      </c>
      <c r="AF21" s="148">
        <f>燃料消費量!$L$3</f>
        <v>0.33</v>
      </c>
      <c r="AG21" s="148"/>
      <c r="AH21" s="98">
        <f>IF(AF21="","",AH20-AF21)</f>
        <v>11.988966889468196</v>
      </c>
      <c r="AI21" s="7">
        <f t="shared" ref="AI21:AI44" si="3">AH21/AF21</f>
        <v>36.330202695358167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36.033999999999999</v>
      </c>
      <c r="AP21" s="148">
        <f>燃料消費量!$L$3</f>
        <v>0.33</v>
      </c>
      <c r="AQ21" s="148"/>
      <c r="AR21" s="98">
        <f>IF(AP21="","",AR20-AP21)</f>
        <v>8.9289668894682048</v>
      </c>
      <c r="AS21" s="7">
        <f>AR21/AP21</f>
        <v>27.057475422630922</v>
      </c>
      <c r="AT21" s="3"/>
      <c r="AU21" s="6">
        <v>1</v>
      </c>
      <c r="AV21" s="36" t="s">
        <v>98</v>
      </c>
      <c r="AW21" s="36" t="s">
        <v>6</v>
      </c>
      <c r="AX21" s="34">
        <v>2</v>
      </c>
      <c r="AY21" s="32">
        <v>40</v>
      </c>
      <c r="AZ21" s="148">
        <f>燃料消費量!$L$3</f>
        <v>0.33</v>
      </c>
      <c r="BA21" s="148"/>
      <c r="BB21" s="98">
        <f>IF(AZ21="","",BB20-AZ21)</f>
        <v>7.9685012690302521</v>
      </c>
      <c r="BC21" s="7">
        <f t="shared" ref="BC21:BC38" si="4">BB21/AZ21</f>
        <v>24.146973542515916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40.177999999999997</v>
      </c>
      <c r="BJ21" s="148">
        <f>燃料消費量!$L$3</f>
        <v>0.33</v>
      </c>
      <c r="BK21" s="148"/>
      <c r="BL21" s="98">
        <f>IF(BJ21="","",BL20-BJ21)</f>
        <v>7.0085012690302548</v>
      </c>
      <c r="BM21" s="7">
        <f t="shared" ref="BM21:BM40" si="5">BL21/BJ21</f>
        <v>21.237882633425013</v>
      </c>
      <c r="BO21" s="6">
        <v>1</v>
      </c>
      <c r="BP21" s="36" t="s">
        <v>98</v>
      </c>
      <c r="BQ21" s="36" t="s">
        <v>99</v>
      </c>
      <c r="BR21" s="34">
        <v>2</v>
      </c>
      <c r="BS21" s="32">
        <v>36.466000000000001</v>
      </c>
      <c r="BT21" s="148">
        <f>燃料消費量!$L$3</f>
        <v>0.33</v>
      </c>
      <c r="BU21" s="148"/>
      <c r="BV21" s="98">
        <f>IF(BT21="","",BV20-BT21)</f>
        <v>5.3485012690302565</v>
      </c>
      <c r="BW21" s="7">
        <f t="shared" ref="BW21:BW34" si="6">BV21/BT21</f>
        <v>16.207579603121989</v>
      </c>
      <c r="BY21" s="6">
        <v>1</v>
      </c>
      <c r="BZ21" s="36" t="s">
        <v>98</v>
      </c>
      <c r="CA21" s="36" t="s">
        <v>99</v>
      </c>
      <c r="CB21" s="34">
        <v>2</v>
      </c>
      <c r="CC21" s="32">
        <v>42.104999999999997</v>
      </c>
      <c r="CD21" s="148">
        <f>燃料消費量!$L$3</f>
        <v>0.33</v>
      </c>
      <c r="CE21" s="148"/>
      <c r="CF21" s="98">
        <f>IF(CD21="","",CF20-CD21)</f>
        <v>5.788501269030256</v>
      </c>
      <c r="CG21" s="7">
        <f t="shared" ref="CG21:CG33" si="7">CF21/CD21</f>
        <v>17.540912936455321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38.926000000000002</v>
      </c>
      <c r="CN21" s="148">
        <f>燃料消費量!$L$3</f>
        <v>0.33</v>
      </c>
      <c r="CO21" s="148"/>
      <c r="CP21" s="98">
        <f>IF(CN21="","",CP20-CN21)</f>
        <v>6.5785012690302569</v>
      </c>
      <c r="CQ21" s="7">
        <f>CP21/CN21</f>
        <v>19.934852330394715</v>
      </c>
      <c r="CS21" s="6">
        <v>1</v>
      </c>
      <c r="CT21" s="36"/>
      <c r="CU21" s="36"/>
      <c r="CV21" s="34"/>
      <c r="CW21" s="32"/>
      <c r="CX21" s="148" t="str">
        <f>IF(CT21="IN",CV$12,IF(CT21="OUT",CV$10,IF(CU21="D",CU$10,IF(CU21="W",CU$11,IF(CU21="SC",CU$12,IF(CU21="EX1",CU$13,IF(CU21="EX2",CU$14,"")))))))</f>
        <v/>
      </c>
      <c r="CY21" s="148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48" t="str">
        <f>IF(DD21="IN",DF$12,IF(DD21="OUT",DF$10,IF(DE21="D",DE$10,IF(DE21="W",DE$11,IF(DE21="SC",DE$12,IF(DE21="EX1",DE$13,IF(DE21="EX2",DE$14,"")))))))</f>
        <v/>
      </c>
      <c r="DI21" s="148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48" t="str">
        <f>IF(DN21="IN",DP$12,IF(DN21="OUT",DP$10,IF(DO21="D",DO$10,IF(DO21="W",DO$11,IF(DO21="SC",DO$12,IF(DO21="EX1",DO$13,IF(DO21="EX2",DO$14,"")))))))</f>
        <v/>
      </c>
      <c r="DS21" s="148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99</v>
      </c>
      <c r="J22" s="34">
        <v>2</v>
      </c>
      <c r="K22" s="32">
        <v>29.498000000000001</v>
      </c>
      <c r="L22" s="148">
        <f>燃料消費量!$B$38</f>
        <v>0.35</v>
      </c>
      <c r="M22" s="148"/>
      <c r="N22" s="98">
        <f t="shared" si="0"/>
        <v>13.200000000000001</v>
      </c>
      <c r="O22" s="7">
        <f t="shared" si="2"/>
        <v>37.714285714285722</v>
      </c>
      <c r="Q22" s="6">
        <v>2</v>
      </c>
      <c r="R22" s="36"/>
      <c r="S22" s="36" t="s">
        <v>99</v>
      </c>
      <c r="T22" s="34">
        <v>2</v>
      </c>
      <c r="U22" s="32">
        <v>29.513999999999999</v>
      </c>
      <c r="V22" s="148">
        <f t="shared" ref="V22:V32" si="8">IF(R22="IN",T$12,IF(R22="OUT",T$10,IF(S22="D",S$10,IF(S22="W",S$11,IF(S22="SC",S$12,IF(S22="EX1",S$13,IF(S22="EX2",S$14,"")))))))</f>
        <v>0.3504656204379562</v>
      </c>
      <c r="W22" s="148"/>
      <c r="X22" s="98">
        <f t="shared" si="1"/>
        <v>12.239534379562048</v>
      </c>
      <c r="Y22" s="7">
        <f t="shared" ref="Y22:Y32" si="9">IF(S22="D",X22/$S$10,IF(S22="W",X22/$S$11,IF(S22="SC",X22/$S$12,IF(S22="EX1",X22/$S$13,IF(S22="EX2",X22/$S$14,"")))))</f>
        <v>34.923637771565225</v>
      </c>
      <c r="AA22" s="6">
        <v>2</v>
      </c>
      <c r="AB22" s="36"/>
      <c r="AC22" s="36" t="s">
        <v>99</v>
      </c>
      <c r="AD22" s="34">
        <v>2</v>
      </c>
      <c r="AE22" s="32">
        <v>28.283999999999999</v>
      </c>
      <c r="AF22" s="148">
        <f>燃料消費量!$D$36</f>
        <v>0.35</v>
      </c>
      <c r="AG22" s="148"/>
      <c r="AH22" s="98">
        <f t="shared" ref="AH22:AH60" si="10">IF(AF22="","",AH21-AF22)</f>
        <v>11.638966889468197</v>
      </c>
      <c r="AI22" s="7">
        <f t="shared" si="3"/>
        <v>33.254191112766279</v>
      </c>
      <c r="AK22" s="6">
        <v>2</v>
      </c>
      <c r="AL22" s="36"/>
      <c r="AM22" s="36" t="s">
        <v>99</v>
      </c>
      <c r="AN22" s="34">
        <v>2</v>
      </c>
      <c r="AO22" s="32">
        <v>25.225000000000001</v>
      </c>
      <c r="AP22" s="148">
        <f>IF(AL22="IN",AN$12,IF(AL22="OUT",AN$10,IF(AM22="D",AM$10,IF(AM22="W",AM$11,IF(AM22="SC",AM$12,IF(AM22="EX1",AM$13,IF(AM22="EX2",AM$14,"")))))))</f>
        <v>0.3504656204379562</v>
      </c>
      <c r="AQ22" s="148"/>
      <c r="AR22" s="98">
        <f t="shared" ref="AR22:AR60" si="11">IF(AP22="","",AR21-AP22)</f>
        <v>8.578501269030248</v>
      </c>
      <c r="AS22" s="7">
        <f>IF(AM22="D",AR22/$AM$10,IF(AM22="W",AR22/$AM$11,IF(AM22="SC",AR22/$AM$12,IF(AM22="EX1",AR22/$AM$13,IF(AM22="EX2",AR22/$AM$14,"")))))</f>
        <v>24.477440207430906</v>
      </c>
      <c r="AT22" s="3"/>
      <c r="AU22" s="6">
        <v>2</v>
      </c>
      <c r="AV22" s="36"/>
      <c r="AW22" s="36" t="s">
        <v>6</v>
      </c>
      <c r="AX22" s="34">
        <v>2</v>
      </c>
      <c r="AY22" s="32">
        <v>30</v>
      </c>
      <c r="AZ22" s="148">
        <f>燃料消費量!$E$31</f>
        <v>0.35</v>
      </c>
      <c r="BA22" s="148"/>
      <c r="BB22" s="98">
        <f t="shared" ref="BB22:BB60" si="12">IF(AZ22="","",BB21-AZ22)</f>
        <v>7.6185012690302525</v>
      </c>
      <c r="BC22" s="7">
        <f t="shared" si="4"/>
        <v>21.767146482943581</v>
      </c>
      <c r="BE22" s="6">
        <v>2</v>
      </c>
      <c r="BF22" s="36"/>
      <c r="BG22" s="36" t="s">
        <v>99</v>
      </c>
      <c r="BH22" s="34">
        <v>2</v>
      </c>
      <c r="BI22" s="32">
        <v>31.23</v>
      </c>
      <c r="BJ22" s="148">
        <f>燃料消費量!$D$41</f>
        <v>0.35</v>
      </c>
      <c r="BK22" s="148"/>
      <c r="BL22" s="98">
        <f t="shared" ref="BL22:BL60" si="13">IF(BJ22="","",BL21-BJ22)</f>
        <v>6.6585012690302552</v>
      </c>
      <c r="BM22" s="7">
        <f t="shared" si="5"/>
        <v>19.024289340086444</v>
      </c>
      <c r="BO22" s="6">
        <v>2</v>
      </c>
      <c r="BP22" s="36"/>
      <c r="BQ22" s="36" t="s">
        <v>99</v>
      </c>
      <c r="BR22" s="34">
        <v>2</v>
      </c>
      <c r="BS22" s="32">
        <v>25.317</v>
      </c>
      <c r="BT22" s="148">
        <f>燃料消費量!$E$30</f>
        <v>0.35</v>
      </c>
      <c r="BU22" s="148"/>
      <c r="BV22" s="98">
        <f t="shared" ref="BV22:BV60" si="14">IF(BT22="","",BV21-BT22)</f>
        <v>4.9985012690302568</v>
      </c>
      <c r="BW22" s="7">
        <f t="shared" si="6"/>
        <v>14.281432197229305</v>
      </c>
      <c r="BY22" s="6">
        <v>2</v>
      </c>
      <c r="BZ22" s="36"/>
      <c r="CA22" s="36" t="s">
        <v>99</v>
      </c>
      <c r="CB22" s="34">
        <v>2</v>
      </c>
      <c r="CC22" s="32">
        <v>28.981000000000002</v>
      </c>
      <c r="CD22" s="148">
        <f>燃料消費量!$E$37</f>
        <v>0.35</v>
      </c>
      <c r="CE22" s="148"/>
      <c r="CF22" s="98">
        <f t="shared" ref="CF22:CF60" si="15">IF(CD22="","",CF21-CD22)</f>
        <v>5.4385012690302563</v>
      </c>
      <c r="CG22" s="7">
        <f t="shared" si="7"/>
        <v>15.538575054372162</v>
      </c>
      <c r="CI22" s="6">
        <v>2</v>
      </c>
      <c r="CJ22" s="36"/>
      <c r="CK22" s="36" t="s">
        <v>99</v>
      </c>
      <c r="CL22" s="34">
        <v>2</v>
      </c>
      <c r="CM22" s="32">
        <v>28.513999999999999</v>
      </c>
      <c r="CN22" s="148">
        <f>燃料消費量!$D$36</f>
        <v>0.35</v>
      </c>
      <c r="CO22" s="148"/>
      <c r="CP22" s="98">
        <f t="shared" ref="CP22:CP60" si="16">IF(CN22="","",CP21-CN22)</f>
        <v>6.2285012690302572</v>
      </c>
      <c r="CQ22" s="7">
        <f t="shared" ref="CQ21:CQ32" si="17">CP22/CN22</f>
        <v>17.795717911515023</v>
      </c>
      <c r="CS22" s="6">
        <v>2</v>
      </c>
      <c r="CT22" s="36"/>
      <c r="CU22" s="36"/>
      <c r="CV22" s="34"/>
      <c r="CW22" s="32"/>
      <c r="CX22" s="148" t="str">
        <f t="shared" ref="CX22:CX60" si="18">IF(CT22="IN",CV$12,IF(CT22="OUT",CV$10,IF(CU22="D",CU$10,IF(CU22="W",CU$11,IF(CU22="SC",CU$12,IF(CU22="EX1",CU$13,IF(CU22="EX2",CU$14,"")))))))</f>
        <v/>
      </c>
      <c r="CY22" s="148"/>
      <c r="CZ22" s="98" t="str">
        <f t="shared" ref="CZ22:CZ60" si="19">IF(CX22="","",CZ21-CX22)</f>
        <v/>
      </c>
      <c r="DA22" s="7" t="str">
        <f t="shared" ref="DA22:DA60" si="20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48" t="str">
        <f t="shared" ref="DH22:DH60" si="21">IF(DD22="IN",DF$12,IF(DD22="OUT",DF$10,IF(DE22="D",DE$10,IF(DE22="W",DE$11,IF(DE22="SC",DE$12,IF(DE22="EX1",DE$13,IF(DE22="EX2",DE$14,"")))))))</f>
        <v/>
      </c>
      <c r="DI22" s="148"/>
      <c r="DJ22" s="98" t="str">
        <f t="shared" ref="DJ22:DJ60" si="22">IF(DH22="","",DJ21-DH22)</f>
        <v/>
      </c>
      <c r="DK22" s="7" t="str">
        <f t="shared" ref="DK22:DK60" si="23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48" t="str">
        <f t="shared" ref="DR22:DR60" si="24">IF(DN22="IN",DP$12,IF(DN22="OUT",DP$10,IF(DO22="D",DO$10,IF(DO22="W",DO$11,IF(DO22="SC",DO$12,IF(DO22="EX1",DO$13,IF(DO22="EX2",DO$14,"")))))))</f>
        <v/>
      </c>
      <c r="DS22" s="148"/>
      <c r="DT22" s="98" t="str">
        <f t="shared" ref="DT22:DT60" si="25">IF(DR22="","",DT21-DR22)</f>
        <v/>
      </c>
      <c r="DU22" s="7" t="str">
        <f t="shared" ref="DU22:DU60" si="26">IF(DO22="D",DT22/$DO$10,IF(DO22="W",DT22/$DO$11,IF(DO22="SC",DT22/$DO$12,IF(DO22="EX1",DT22/$DO$13,IF(DO22="EX2",DT22/$DO$14,"")))))</f>
        <v/>
      </c>
    </row>
    <row r="23" spans="1:125" ht="13.25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99</v>
      </c>
      <c r="J23" s="34">
        <v>2</v>
      </c>
      <c r="K23" s="32">
        <v>26.306000000000001</v>
      </c>
      <c r="L23" s="148">
        <f>燃料消費量!$B$32</f>
        <v>0.35</v>
      </c>
      <c r="M23" s="148"/>
      <c r="N23" s="98">
        <f t="shared" si="0"/>
        <v>12.850000000000001</v>
      </c>
      <c r="O23" s="7">
        <f t="shared" si="2"/>
        <v>36.714285714285722</v>
      </c>
      <c r="Q23" s="6">
        <v>3</v>
      </c>
      <c r="R23" s="36"/>
      <c r="S23" s="36" t="s">
        <v>99</v>
      </c>
      <c r="T23" s="34">
        <v>2</v>
      </c>
      <c r="U23" s="32">
        <v>28.98</v>
      </c>
      <c r="V23" s="148">
        <f t="shared" si="8"/>
        <v>0.3504656204379562</v>
      </c>
      <c r="W23" s="148"/>
      <c r="X23" s="98">
        <f t="shared" si="1"/>
        <v>11.889068759124092</v>
      </c>
      <c r="Y23" s="7">
        <f t="shared" si="9"/>
        <v>33.923637771565225</v>
      </c>
      <c r="AA23" s="6">
        <v>3</v>
      </c>
      <c r="AB23" s="36"/>
      <c r="AC23" s="36" t="s">
        <v>99</v>
      </c>
      <c r="AD23" s="34">
        <v>2</v>
      </c>
      <c r="AE23" s="32">
        <v>26.396999999999998</v>
      </c>
      <c r="AF23" s="148">
        <f>燃料消費量!$D$32</f>
        <v>0.35</v>
      </c>
      <c r="AG23" s="148"/>
      <c r="AH23" s="98">
        <f t="shared" si="10"/>
        <v>11.288966889468197</v>
      </c>
      <c r="AI23" s="7">
        <f t="shared" si="3"/>
        <v>32.254191112766279</v>
      </c>
      <c r="AK23" s="6">
        <v>3</v>
      </c>
      <c r="AL23" s="36"/>
      <c r="AM23" s="36" t="s">
        <v>99</v>
      </c>
      <c r="AN23" s="34">
        <v>2</v>
      </c>
      <c r="AO23" s="32">
        <v>23.338999999999999</v>
      </c>
      <c r="AP23" s="148">
        <f>燃料消費量!$B$26</f>
        <v>0.35</v>
      </c>
      <c r="AQ23" s="148"/>
      <c r="AR23" s="98">
        <f t="shared" si="11"/>
        <v>8.2285012690302484</v>
      </c>
      <c r="AS23" s="7">
        <f t="shared" ref="AS23:AS38" si="27">AR23/AP23</f>
        <v>23.51000362580071</v>
      </c>
      <c r="AT23" s="3"/>
      <c r="AU23" s="6">
        <v>3</v>
      </c>
      <c r="AV23" s="36"/>
      <c r="AW23" s="36" t="s">
        <v>6</v>
      </c>
      <c r="AX23" s="34">
        <v>2</v>
      </c>
      <c r="AY23" s="32">
        <v>20</v>
      </c>
      <c r="AZ23" s="148">
        <f>燃料消費量!$E$37</f>
        <v>0.35</v>
      </c>
      <c r="BA23" s="148"/>
      <c r="BB23" s="98">
        <f t="shared" si="12"/>
        <v>7.2685012690302528</v>
      </c>
      <c r="BC23" s="7">
        <f t="shared" si="4"/>
        <v>20.767146482943581</v>
      </c>
      <c r="BE23" s="6">
        <v>3</v>
      </c>
      <c r="BF23" s="36"/>
      <c r="BG23" s="36" t="s">
        <v>99</v>
      </c>
      <c r="BH23" s="34">
        <v>2</v>
      </c>
      <c r="BI23" s="32">
        <v>28.094999999999999</v>
      </c>
      <c r="BJ23" s="148">
        <f>燃料消費量!$D$35</f>
        <v>0.35</v>
      </c>
      <c r="BK23" s="148"/>
      <c r="BL23" s="98">
        <f t="shared" si="13"/>
        <v>6.3085012690302555</v>
      </c>
      <c r="BM23" s="7">
        <f t="shared" si="5"/>
        <v>18.024289340086444</v>
      </c>
      <c r="BO23" s="6">
        <v>3</v>
      </c>
      <c r="BP23" s="36"/>
      <c r="BQ23" s="36" t="s">
        <v>99</v>
      </c>
      <c r="BR23" s="34">
        <v>2</v>
      </c>
      <c r="BS23" s="32">
        <v>25.486000000000001</v>
      </c>
      <c r="BT23" s="148">
        <f>燃料消費量!$E$30</f>
        <v>0.35</v>
      </c>
      <c r="BU23" s="148"/>
      <c r="BV23" s="98">
        <f t="shared" si="14"/>
        <v>4.6485012690302572</v>
      </c>
      <c r="BW23" s="7">
        <f t="shared" si="6"/>
        <v>13.281432197229307</v>
      </c>
      <c r="BY23" s="6">
        <v>3</v>
      </c>
      <c r="BZ23" s="36"/>
      <c r="CA23" s="36" t="s">
        <v>99</v>
      </c>
      <c r="CB23" s="34">
        <v>2</v>
      </c>
      <c r="CC23" s="32">
        <v>28.202000000000002</v>
      </c>
      <c r="CD23" s="148">
        <f>燃料消費量!$E$35</f>
        <v>0.35</v>
      </c>
      <c r="CE23" s="148"/>
      <c r="CF23" s="98">
        <f t="shared" si="15"/>
        <v>5.0885012690302567</v>
      </c>
      <c r="CG23" s="7">
        <f t="shared" si="7"/>
        <v>14.538575054372163</v>
      </c>
      <c r="CI23" s="6">
        <v>3</v>
      </c>
      <c r="CJ23" s="36"/>
      <c r="CK23" s="36" t="s">
        <v>99</v>
      </c>
      <c r="CL23" s="34">
        <v>2</v>
      </c>
      <c r="CM23" s="32">
        <v>27.271999999999998</v>
      </c>
      <c r="CN23" s="148">
        <f>燃料消費量!$D$34</f>
        <v>0.35</v>
      </c>
      <c r="CO23" s="148"/>
      <c r="CP23" s="98">
        <f t="shared" si="16"/>
        <v>5.8785012690302576</v>
      </c>
      <c r="CQ23" s="7">
        <f t="shared" si="17"/>
        <v>16.795717911515023</v>
      </c>
      <c r="CS23" s="6">
        <v>3</v>
      </c>
      <c r="CT23" s="36"/>
      <c r="CU23" s="36"/>
      <c r="CV23" s="34"/>
      <c r="CW23" s="32"/>
      <c r="CX23" s="148" t="str">
        <f t="shared" si="18"/>
        <v/>
      </c>
      <c r="CY23" s="148"/>
      <c r="CZ23" s="98" t="str">
        <f t="shared" si="19"/>
        <v/>
      </c>
      <c r="DA23" s="7" t="str">
        <f t="shared" si="20"/>
        <v/>
      </c>
      <c r="DC23" s="6">
        <v>3</v>
      </c>
      <c r="DD23" s="36"/>
      <c r="DE23" s="36"/>
      <c r="DF23" s="34"/>
      <c r="DG23" s="32"/>
      <c r="DH23" s="148" t="str">
        <f t="shared" si="21"/>
        <v/>
      </c>
      <c r="DI23" s="148"/>
      <c r="DJ23" s="98" t="str">
        <f t="shared" si="22"/>
        <v/>
      </c>
      <c r="DK23" s="7" t="str">
        <f t="shared" si="23"/>
        <v/>
      </c>
      <c r="DM23" s="6">
        <v>3</v>
      </c>
      <c r="DN23" s="36"/>
      <c r="DO23" s="36"/>
      <c r="DP23" s="34"/>
      <c r="DQ23" s="32"/>
      <c r="DR23" s="148" t="str">
        <f t="shared" si="24"/>
        <v/>
      </c>
      <c r="DS23" s="148"/>
      <c r="DT23" s="98" t="str">
        <f t="shared" si="25"/>
        <v/>
      </c>
      <c r="DU23" s="7" t="str">
        <f t="shared" si="26"/>
        <v/>
      </c>
    </row>
    <row r="24" spans="1:125" ht="13.25" customHeight="1" x14ac:dyDescent="0.2">
      <c r="A24" s="109" t="s">
        <v>41</v>
      </c>
      <c r="B24" s="64">
        <v>0</v>
      </c>
      <c r="G24" s="6">
        <v>4</v>
      </c>
      <c r="H24" s="36"/>
      <c r="I24" s="36" t="s">
        <v>99</v>
      </c>
      <c r="J24" s="34">
        <v>2</v>
      </c>
      <c r="K24" s="32">
        <v>25.507000000000001</v>
      </c>
      <c r="L24" s="148">
        <f>燃料消費量!$B$30</f>
        <v>0.35</v>
      </c>
      <c r="M24" s="148"/>
      <c r="N24" s="98">
        <f t="shared" si="0"/>
        <v>12.500000000000002</v>
      </c>
      <c r="O24" s="7">
        <f t="shared" si="2"/>
        <v>35.714285714285722</v>
      </c>
      <c r="Q24" s="6">
        <v>4</v>
      </c>
      <c r="R24" s="36"/>
      <c r="S24" s="36" t="s">
        <v>99</v>
      </c>
      <c r="T24" s="34">
        <v>2</v>
      </c>
      <c r="U24" s="32">
        <v>29.315000000000001</v>
      </c>
      <c r="V24" s="148">
        <f t="shared" si="8"/>
        <v>0.3504656204379562</v>
      </c>
      <c r="W24" s="148"/>
      <c r="X24" s="98">
        <f t="shared" si="1"/>
        <v>11.538603138686135</v>
      </c>
      <c r="Y24" s="7">
        <f t="shared" si="9"/>
        <v>32.923637771565218</v>
      </c>
      <c r="AA24" s="6">
        <v>4</v>
      </c>
      <c r="AB24" s="36"/>
      <c r="AC24" s="36" t="s">
        <v>99</v>
      </c>
      <c r="AD24" s="34">
        <v>2</v>
      </c>
      <c r="AE24" s="32">
        <v>27.033000000000001</v>
      </c>
      <c r="AF24" s="148">
        <f>燃料消費量!$D$33</f>
        <v>0.35</v>
      </c>
      <c r="AG24" s="148"/>
      <c r="AH24" s="98">
        <f t="shared" si="10"/>
        <v>10.938966889468198</v>
      </c>
      <c r="AI24" s="7">
        <f t="shared" si="3"/>
        <v>31.254191112766282</v>
      </c>
      <c r="AK24" s="6">
        <v>4</v>
      </c>
      <c r="AL24" s="36"/>
      <c r="AM24" s="36" t="s">
        <v>99</v>
      </c>
      <c r="AN24" s="34">
        <v>2</v>
      </c>
      <c r="AO24" s="32">
        <v>26.029</v>
      </c>
      <c r="AP24" s="148">
        <f>燃料消費量!$B$31</f>
        <v>0.35</v>
      </c>
      <c r="AQ24" s="148"/>
      <c r="AR24" s="98">
        <f t="shared" si="11"/>
        <v>7.8785012690302487</v>
      </c>
      <c r="AS24" s="7">
        <f t="shared" si="27"/>
        <v>22.510003625800714</v>
      </c>
      <c r="AT24" s="3"/>
      <c r="AU24" s="6">
        <v>4</v>
      </c>
      <c r="AV24" s="36"/>
      <c r="AW24" s="36" t="s">
        <v>6</v>
      </c>
      <c r="AX24" s="34">
        <v>2</v>
      </c>
      <c r="AY24" s="32">
        <v>20</v>
      </c>
      <c r="AZ24" s="148">
        <f>燃料消費量!$E$34</f>
        <v>0.35</v>
      </c>
      <c r="BA24" s="148"/>
      <c r="BB24" s="98">
        <f t="shared" si="12"/>
        <v>6.9185012690302532</v>
      </c>
      <c r="BC24" s="7">
        <f t="shared" si="4"/>
        <v>19.767146482943581</v>
      </c>
      <c r="BE24" s="6">
        <v>4</v>
      </c>
      <c r="BF24" s="36"/>
      <c r="BG24" s="36" t="s">
        <v>99</v>
      </c>
      <c r="BH24" s="34">
        <v>2</v>
      </c>
      <c r="BI24" s="32">
        <v>28.213000000000001</v>
      </c>
      <c r="BJ24" s="148">
        <f>燃料消費量!$D$35</f>
        <v>0.35</v>
      </c>
      <c r="BK24" s="148"/>
      <c r="BL24" s="98">
        <f t="shared" si="13"/>
        <v>5.9585012690302559</v>
      </c>
      <c r="BM24" s="7">
        <f t="shared" si="5"/>
        <v>17.024289340086447</v>
      </c>
      <c r="BO24" s="6">
        <v>4</v>
      </c>
      <c r="BP24" s="36"/>
      <c r="BQ24" s="36" t="s">
        <v>99</v>
      </c>
      <c r="BR24" s="34">
        <v>2</v>
      </c>
      <c r="BS24" s="32">
        <v>23.1</v>
      </c>
      <c r="BT24" s="148">
        <f>燃料消費量!$E$25</f>
        <v>0.35</v>
      </c>
      <c r="BU24" s="148"/>
      <c r="BV24" s="98">
        <f t="shared" si="14"/>
        <v>4.2985012690302575</v>
      </c>
      <c r="BW24" s="7">
        <f t="shared" si="6"/>
        <v>12.281432197229307</v>
      </c>
      <c r="BY24" s="6">
        <v>4</v>
      </c>
      <c r="BZ24" s="36"/>
      <c r="CA24" s="36" t="s">
        <v>99</v>
      </c>
      <c r="CB24" s="34">
        <v>2</v>
      </c>
      <c r="CC24" s="32">
        <v>27.559000000000001</v>
      </c>
      <c r="CD24" s="148">
        <f>燃料消費量!$E$34</f>
        <v>0.35</v>
      </c>
      <c r="CE24" s="148"/>
      <c r="CF24" s="98">
        <f t="shared" si="15"/>
        <v>4.738501269030257</v>
      </c>
      <c r="CG24" s="7">
        <f t="shared" si="7"/>
        <v>13.538575054372163</v>
      </c>
      <c r="CI24" s="6">
        <v>4</v>
      </c>
      <c r="CJ24" s="36"/>
      <c r="CK24" s="36" t="s">
        <v>99</v>
      </c>
      <c r="CL24" s="34">
        <v>2</v>
      </c>
      <c r="CM24" s="32">
        <v>27.670999999999999</v>
      </c>
      <c r="CN24" s="148">
        <f>燃料消費量!$D$34</f>
        <v>0.35</v>
      </c>
      <c r="CO24" s="148"/>
      <c r="CP24" s="98">
        <f t="shared" si="16"/>
        <v>5.528501269030258</v>
      </c>
      <c r="CQ24" s="7">
        <f t="shared" si="17"/>
        <v>15.795717911515023</v>
      </c>
      <c r="CS24" s="6">
        <v>4</v>
      </c>
      <c r="CT24" s="36"/>
      <c r="CU24" s="36"/>
      <c r="CV24" s="34"/>
      <c r="CW24" s="32"/>
      <c r="CX24" s="148" t="str">
        <f t="shared" si="18"/>
        <v/>
      </c>
      <c r="CY24" s="148"/>
      <c r="CZ24" s="98" t="str">
        <f t="shared" si="19"/>
        <v/>
      </c>
      <c r="DA24" s="7" t="str">
        <f t="shared" si="20"/>
        <v/>
      </c>
      <c r="DC24" s="6">
        <v>4</v>
      </c>
      <c r="DD24" s="36"/>
      <c r="DE24" s="36"/>
      <c r="DF24" s="34"/>
      <c r="DG24" s="32"/>
      <c r="DH24" s="148" t="str">
        <f t="shared" si="21"/>
        <v/>
      </c>
      <c r="DI24" s="148"/>
      <c r="DJ24" s="98" t="str">
        <f t="shared" si="22"/>
        <v/>
      </c>
      <c r="DK24" s="7" t="str">
        <f t="shared" si="23"/>
        <v/>
      </c>
      <c r="DM24" s="6">
        <v>4</v>
      </c>
      <c r="DN24" s="36"/>
      <c r="DO24" s="36"/>
      <c r="DP24" s="34"/>
      <c r="DQ24" s="32"/>
      <c r="DR24" s="148" t="str">
        <f t="shared" si="24"/>
        <v/>
      </c>
      <c r="DS24" s="148"/>
      <c r="DT24" s="98" t="str">
        <f t="shared" si="25"/>
        <v/>
      </c>
      <c r="DU24" s="7" t="str">
        <f t="shared" si="26"/>
        <v/>
      </c>
    </row>
    <row r="25" spans="1:125" ht="13.25" customHeight="1" x14ac:dyDescent="0.2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99</v>
      </c>
      <c r="J25" s="34">
        <v>2</v>
      </c>
      <c r="K25" s="32">
        <v>24.626999999999999</v>
      </c>
      <c r="L25" s="148">
        <f>燃料消費量!$B$28</f>
        <v>0.35</v>
      </c>
      <c r="M25" s="148"/>
      <c r="N25" s="98">
        <f t="shared" si="0"/>
        <v>12.150000000000002</v>
      </c>
      <c r="O25" s="7">
        <f t="shared" si="2"/>
        <v>34.714285714285722</v>
      </c>
      <c r="Q25" s="6">
        <v>5</v>
      </c>
      <c r="R25" s="36"/>
      <c r="S25" s="36" t="s">
        <v>99</v>
      </c>
      <c r="T25" s="34">
        <v>2</v>
      </c>
      <c r="U25" s="32">
        <v>28.346</v>
      </c>
      <c r="V25" s="148">
        <f t="shared" si="8"/>
        <v>0.3504656204379562</v>
      </c>
      <c r="W25" s="148"/>
      <c r="X25" s="98">
        <f t="shared" si="1"/>
        <v>11.188137518248178</v>
      </c>
      <c r="Y25" s="7">
        <f t="shared" si="9"/>
        <v>31.923637771565218</v>
      </c>
      <c r="AA25" s="6">
        <v>5</v>
      </c>
      <c r="AB25" s="36"/>
      <c r="AC25" s="36" t="s">
        <v>99</v>
      </c>
      <c r="AD25" s="34">
        <v>2</v>
      </c>
      <c r="AE25" s="32">
        <v>26.940999999999999</v>
      </c>
      <c r="AF25" s="148">
        <f>燃料消費量!$D$33</f>
        <v>0.35</v>
      </c>
      <c r="AG25" s="148"/>
      <c r="AH25" s="98">
        <f t="shared" si="10"/>
        <v>10.588966889468198</v>
      </c>
      <c r="AI25" s="7">
        <f t="shared" si="3"/>
        <v>30.254191112766282</v>
      </c>
      <c r="AK25" s="6">
        <v>5</v>
      </c>
      <c r="AL25" s="36"/>
      <c r="AM25" s="36" t="s">
        <v>99</v>
      </c>
      <c r="AN25" s="34">
        <v>2</v>
      </c>
      <c r="AO25" s="32">
        <v>23.489000000000001</v>
      </c>
      <c r="AP25" s="148">
        <f>燃料消費量!$B$26</f>
        <v>0.35</v>
      </c>
      <c r="AQ25" s="148"/>
      <c r="AR25" s="98">
        <f t="shared" si="11"/>
        <v>7.5285012690302491</v>
      </c>
      <c r="AS25" s="7">
        <f t="shared" si="27"/>
        <v>21.510003625800714</v>
      </c>
      <c r="AT25" s="3"/>
      <c r="AU25" s="6">
        <v>5</v>
      </c>
      <c r="AV25" s="36"/>
      <c r="AW25" s="36" t="s">
        <v>6</v>
      </c>
      <c r="AX25" s="34">
        <v>2</v>
      </c>
      <c r="AY25" s="32">
        <v>20</v>
      </c>
      <c r="AZ25" s="148">
        <f>燃料消費量!$E$33</f>
        <v>0.35</v>
      </c>
      <c r="BA25" s="148"/>
      <c r="BB25" s="98">
        <f t="shared" si="12"/>
        <v>6.5685012690302536</v>
      </c>
      <c r="BC25" s="7">
        <f t="shared" si="4"/>
        <v>18.767146482943584</v>
      </c>
      <c r="BE25" s="6">
        <v>5</v>
      </c>
      <c r="BF25" s="36"/>
      <c r="BG25" s="36" t="s">
        <v>99</v>
      </c>
      <c r="BH25" s="34">
        <v>2</v>
      </c>
      <c r="BI25" s="32">
        <v>26.231000000000002</v>
      </c>
      <c r="BJ25" s="148">
        <f>燃料消費量!$D$31</f>
        <v>0.35</v>
      </c>
      <c r="BK25" s="148"/>
      <c r="BL25" s="98">
        <f t="shared" si="13"/>
        <v>5.6085012690302563</v>
      </c>
      <c r="BM25" s="7">
        <f t="shared" si="5"/>
        <v>16.024289340086447</v>
      </c>
      <c r="BO25" s="6">
        <v>5</v>
      </c>
      <c r="BP25" s="36"/>
      <c r="BQ25" s="36" t="s">
        <v>99</v>
      </c>
      <c r="BR25" s="34">
        <v>2</v>
      </c>
      <c r="BS25" s="32">
        <v>23.242000000000001</v>
      </c>
      <c r="BT25" s="148">
        <f>燃料消費量!$E$25</f>
        <v>0.35</v>
      </c>
      <c r="BU25" s="148"/>
      <c r="BV25" s="98">
        <f t="shared" si="14"/>
        <v>3.9485012690302574</v>
      </c>
      <c r="BW25" s="7">
        <f t="shared" si="6"/>
        <v>11.281432197229307</v>
      </c>
      <c r="BY25" s="6">
        <v>5</v>
      </c>
      <c r="BZ25" s="36"/>
      <c r="CA25" s="36" t="s">
        <v>99</v>
      </c>
      <c r="CB25" s="34">
        <v>2</v>
      </c>
      <c r="CC25" s="32">
        <v>26.774999999999999</v>
      </c>
      <c r="CD25" s="148">
        <f>燃料消費量!$E$33</f>
        <v>0.35</v>
      </c>
      <c r="CE25" s="148"/>
      <c r="CF25" s="98">
        <f t="shared" si="15"/>
        <v>4.3885012690302574</v>
      </c>
      <c r="CG25" s="7">
        <f t="shared" si="7"/>
        <v>12.538575054372165</v>
      </c>
      <c r="CI25" s="6">
        <v>5</v>
      </c>
      <c r="CJ25" s="36"/>
      <c r="CK25" s="36" t="s">
        <v>99</v>
      </c>
      <c r="CL25" s="34">
        <v>2</v>
      </c>
      <c r="CM25" s="32">
        <v>26.751999999999999</v>
      </c>
      <c r="CN25" s="148">
        <f>燃料消費量!$D$33</f>
        <v>0.35</v>
      </c>
      <c r="CO25" s="148"/>
      <c r="CP25" s="98">
        <f t="shared" si="16"/>
        <v>5.1785012690302583</v>
      </c>
      <c r="CQ25" s="7">
        <f t="shared" si="17"/>
        <v>14.795717911515025</v>
      </c>
      <c r="CS25" s="6">
        <v>5</v>
      </c>
      <c r="CT25" s="36"/>
      <c r="CU25" s="36"/>
      <c r="CV25" s="34"/>
      <c r="CW25" s="32"/>
      <c r="CX25" s="148" t="str">
        <f t="shared" si="18"/>
        <v/>
      </c>
      <c r="CY25" s="148"/>
      <c r="CZ25" s="98" t="str">
        <f t="shared" si="19"/>
        <v/>
      </c>
      <c r="DA25" s="7" t="str">
        <f t="shared" si="20"/>
        <v/>
      </c>
      <c r="DC25" s="6">
        <v>5</v>
      </c>
      <c r="DD25" s="36"/>
      <c r="DE25" s="36"/>
      <c r="DF25" s="34"/>
      <c r="DG25" s="32"/>
      <c r="DH25" s="148" t="str">
        <f t="shared" si="21"/>
        <v/>
      </c>
      <c r="DI25" s="148"/>
      <c r="DJ25" s="98" t="str">
        <f t="shared" si="22"/>
        <v/>
      </c>
      <c r="DK25" s="7" t="str">
        <f t="shared" si="23"/>
        <v/>
      </c>
      <c r="DM25" s="6">
        <v>5</v>
      </c>
      <c r="DN25" s="36"/>
      <c r="DO25" s="36"/>
      <c r="DP25" s="34"/>
      <c r="DQ25" s="32"/>
      <c r="DR25" s="148" t="str">
        <f t="shared" si="24"/>
        <v/>
      </c>
      <c r="DS25" s="148"/>
      <c r="DT25" s="98" t="str">
        <f t="shared" si="25"/>
        <v/>
      </c>
      <c r="DU25" s="7" t="str">
        <f t="shared" si="26"/>
        <v/>
      </c>
    </row>
    <row r="26" spans="1:125" x14ac:dyDescent="0.2">
      <c r="A26" s="109" t="s">
        <v>42</v>
      </c>
      <c r="B26" s="63">
        <v>12</v>
      </c>
      <c r="G26" s="6">
        <v>6</v>
      </c>
      <c r="H26" s="36"/>
      <c r="I26" s="36" t="s">
        <v>99</v>
      </c>
      <c r="J26" s="34">
        <v>2</v>
      </c>
      <c r="K26" s="32">
        <v>25.44</v>
      </c>
      <c r="L26" s="148">
        <f>燃料消費量!$B$30</f>
        <v>0.35</v>
      </c>
      <c r="M26" s="148"/>
      <c r="N26" s="98">
        <f t="shared" si="0"/>
        <v>11.800000000000002</v>
      </c>
      <c r="O26" s="7">
        <f t="shared" si="2"/>
        <v>33.714285714285722</v>
      </c>
      <c r="Q26" s="6">
        <v>6</v>
      </c>
      <c r="R26" s="36"/>
      <c r="S26" s="36" t="s">
        <v>99</v>
      </c>
      <c r="T26" s="34">
        <v>2</v>
      </c>
      <c r="U26" s="32">
        <v>29.326000000000001</v>
      </c>
      <c r="V26" s="148">
        <f t="shared" si="8"/>
        <v>0.3504656204379562</v>
      </c>
      <c r="W26" s="148"/>
      <c r="X26" s="98">
        <f t="shared" si="1"/>
        <v>10.837671897810221</v>
      </c>
      <c r="Y26" s="7">
        <f t="shared" si="9"/>
        <v>30.923637771565218</v>
      </c>
      <c r="AA26" s="6">
        <v>6</v>
      </c>
      <c r="AB26" s="36"/>
      <c r="AC26" s="36" t="s">
        <v>99</v>
      </c>
      <c r="AD26" s="34">
        <v>2</v>
      </c>
      <c r="AE26" s="32">
        <v>25.925999999999998</v>
      </c>
      <c r="AF26" s="148">
        <f>燃料消費量!$D$31</f>
        <v>0.35</v>
      </c>
      <c r="AG26" s="148"/>
      <c r="AH26" s="98">
        <f t="shared" si="10"/>
        <v>10.238966889468198</v>
      </c>
      <c r="AI26" s="7">
        <f t="shared" si="3"/>
        <v>29.254191112766282</v>
      </c>
      <c r="AK26" s="6">
        <v>6</v>
      </c>
      <c r="AL26" s="36"/>
      <c r="AM26" s="36" t="s">
        <v>99</v>
      </c>
      <c r="AN26" s="34">
        <v>2</v>
      </c>
      <c r="AO26" s="32">
        <v>23.643999999999998</v>
      </c>
      <c r="AP26" s="148">
        <f>燃料消費量!$B$26</f>
        <v>0.35</v>
      </c>
      <c r="AQ26" s="148"/>
      <c r="AR26" s="98">
        <f t="shared" si="11"/>
        <v>7.1785012690302494</v>
      </c>
      <c r="AS26" s="7">
        <f t="shared" si="27"/>
        <v>20.510003625800714</v>
      </c>
      <c r="AT26" s="3"/>
      <c r="AU26" s="6">
        <v>6</v>
      </c>
      <c r="AV26" s="36"/>
      <c r="AW26" s="36" t="s">
        <v>6</v>
      </c>
      <c r="AX26" s="34">
        <v>2</v>
      </c>
      <c r="AY26" s="32">
        <v>20</v>
      </c>
      <c r="AZ26" s="148">
        <f>燃料消費量!$E$33</f>
        <v>0.35</v>
      </c>
      <c r="BA26" s="148"/>
      <c r="BB26" s="98">
        <f t="shared" si="12"/>
        <v>6.2185012690302539</v>
      </c>
      <c r="BC26" s="7">
        <f t="shared" si="4"/>
        <v>17.767146482943584</v>
      </c>
      <c r="BE26" s="6">
        <v>6</v>
      </c>
      <c r="BF26" s="36"/>
      <c r="BG26" s="36" t="s">
        <v>99</v>
      </c>
      <c r="BH26" s="34">
        <v>2</v>
      </c>
      <c r="BI26" s="32">
        <v>25.408999999999999</v>
      </c>
      <c r="BJ26" s="148">
        <f>燃料消費量!$D$30</f>
        <v>0.35</v>
      </c>
      <c r="BK26" s="148"/>
      <c r="BL26" s="98">
        <f t="shared" si="13"/>
        <v>5.2585012690302566</v>
      </c>
      <c r="BM26" s="7">
        <f t="shared" si="5"/>
        <v>15.024289340086449</v>
      </c>
      <c r="BO26" s="6">
        <v>6</v>
      </c>
      <c r="BP26" s="36"/>
      <c r="BQ26" s="36" t="s">
        <v>99</v>
      </c>
      <c r="BR26" s="34">
        <v>2</v>
      </c>
      <c r="BS26" s="32">
        <v>22.721</v>
      </c>
      <c r="BT26" s="148">
        <f>燃料消費量!$E$24</f>
        <v>0.35</v>
      </c>
      <c r="BU26" s="148"/>
      <c r="BV26" s="98">
        <f t="shared" si="14"/>
        <v>3.5985012690302574</v>
      </c>
      <c r="BW26" s="7">
        <f t="shared" si="6"/>
        <v>10.281432197229307</v>
      </c>
      <c r="BY26" s="6">
        <v>6</v>
      </c>
      <c r="BZ26" s="36"/>
      <c r="CA26" s="36" t="s">
        <v>99</v>
      </c>
      <c r="CB26" s="34">
        <v>2</v>
      </c>
      <c r="CC26" s="32">
        <v>27.72</v>
      </c>
      <c r="CD26" s="148">
        <f>燃料消費量!$E$34</f>
        <v>0.35</v>
      </c>
      <c r="CE26" s="148"/>
      <c r="CF26" s="98">
        <f t="shared" si="15"/>
        <v>4.0385012690302577</v>
      </c>
      <c r="CG26" s="7">
        <f t="shared" si="7"/>
        <v>11.538575054372165</v>
      </c>
      <c r="CI26" s="6">
        <v>6</v>
      </c>
      <c r="CJ26" s="36"/>
      <c r="CK26" s="36" t="s">
        <v>99</v>
      </c>
      <c r="CL26" s="34">
        <v>2</v>
      </c>
      <c r="CM26" s="32">
        <v>26.562999999999999</v>
      </c>
      <c r="CN26" s="148">
        <f>燃料消費量!$D$32</f>
        <v>0.35</v>
      </c>
      <c r="CO26" s="148"/>
      <c r="CP26" s="98">
        <f t="shared" si="16"/>
        <v>4.8285012690302587</v>
      </c>
      <c r="CQ26" s="7">
        <f t="shared" si="17"/>
        <v>13.795717911515025</v>
      </c>
      <c r="CS26" s="6">
        <v>6</v>
      </c>
      <c r="CT26" s="36"/>
      <c r="CU26" s="36"/>
      <c r="CV26" s="34"/>
      <c r="CW26" s="32"/>
      <c r="CX26" s="148" t="str">
        <f t="shared" si="18"/>
        <v/>
      </c>
      <c r="CY26" s="148"/>
      <c r="CZ26" s="98" t="str">
        <f t="shared" si="19"/>
        <v/>
      </c>
      <c r="DA26" s="7" t="str">
        <f t="shared" si="20"/>
        <v/>
      </c>
      <c r="DC26" s="6">
        <v>6</v>
      </c>
      <c r="DD26" s="36"/>
      <c r="DE26" s="36"/>
      <c r="DF26" s="34"/>
      <c r="DG26" s="32"/>
      <c r="DH26" s="148" t="str">
        <f t="shared" si="21"/>
        <v/>
      </c>
      <c r="DI26" s="148"/>
      <c r="DJ26" s="98" t="str">
        <f t="shared" si="22"/>
        <v/>
      </c>
      <c r="DK26" s="7" t="str">
        <f t="shared" si="23"/>
        <v/>
      </c>
      <c r="DM26" s="6">
        <v>6</v>
      </c>
      <c r="DN26" s="36"/>
      <c r="DO26" s="36"/>
      <c r="DP26" s="34"/>
      <c r="DQ26" s="32"/>
      <c r="DR26" s="148" t="str">
        <f t="shared" si="24"/>
        <v/>
      </c>
      <c r="DS26" s="148"/>
      <c r="DT26" s="98" t="str">
        <f t="shared" si="25"/>
        <v/>
      </c>
      <c r="DU26" s="7" t="str">
        <f t="shared" si="26"/>
        <v/>
      </c>
    </row>
    <row r="27" spans="1:125" x14ac:dyDescent="0.2">
      <c r="G27" s="6">
        <v>7</v>
      </c>
      <c r="H27" s="36"/>
      <c r="I27" s="36" t="s">
        <v>99</v>
      </c>
      <c r="J27" s="34">
        <v>2</v>
      </c>
      <c r="K27" s="32">
        <v>25.559000000000001</v>
      </c>
      <c r="L27" s="148">
        <f>燃料消費量!$B$30</f>
        <v>0.35</v>
      </c>
      <c r="M27" s="148"/>
      <c r="N27" s="98">
        <f t="shared" si="0"/>
        <v>11.450000000000003</v>
      </c>
      <c r="O27" s="7">
        <f t="shared" si="2"/>
        <v>32.714285714285722</v>
      </c>
      <c r="Q27" s="6">
        <v>7</v>
      </c>
      <c r="R27" s="36"/>
      <c r="S27" s="36" t="s">
        <v>99</v>
      </c>
      <c r="T27" s="34">
        <v>2</v>
      </c>
      <c r="U27" s="32">
        <v>25.74</v>
      </c>
      <c r="V27" s="148">
        <f t="shared" si="8"/>
        <v>0.3504656204379562</v>
      </c>
      <c r="W27" s="148"/>
      <c r="X27" s="98">
        <f t="shared" si="1"/>
        <v>10.487206277372264</v>
      </c>
      <c r="Y27" s="7">
        <f t="shared" si="9"/>
        <v>29.923637771565215</v>
      </c>
      <c r="AA27" s="6">
        <v>7</v>
      </c>
      <c r="AB27" s="36"/>
      <c r="AC27" s="36" t="s">
        <v>99</v>
      </c>
      <c r="AD27" s="34">
        <v>2</v>
      </c>
      <c r="AE27" s="32">
        <v>24.83</v>
      </c>
      <c r="AF27" s="148">
        <f>燃料消費量!$D$29</f>
        <v>0.35</v>
      </c>
      <c r="AG27" s="148"/>
      <c r="AH27" s="98">
        <f t="shared" si="10"/>
        <v>9.8889668894681986</v>
      </c>
      <c r="AI27" s="7">
        <f t="shared" si="3"/>
        <v>28.254191112766282</v>
      </c>
      <c r="AK27" s="6">
        <v>7</v>
      </c>
      <c r="AL27" s="36"/>
      <c r="AM27" s="36" t="s">
        <v>99</v>
      </c>
      <c r="AN27" s="34">
        <v>2</v>
      </c>
      <c r="AO27" s="32">
        <v>22.399000000000001</v>
      </c>
      <c r="AP27" s="148">
        <f>燃料消費量!$B$24</f>
        <v>0.35</v>
      </c>
      <c r="AQ27" s="148"/>
      <c r="AR27" s="98">
        <f t="shared" si="11"/>
        <v>6.8285012690302498</v>
      </c>
      <c r="AS27" s="7">
        <f t="shared" si="27"/>
        <v>19.510003625800714</v>
      </c>
      <c r="AT27" s="3"/>
      <c r="AU27" s="6">
        <v>7</v>
      </c>
      <c r="AV27" s="36"/>
      <c r="AW27" s="36" t="s">
        <v>6</v>
      </c>
      <c r="AX27" s="34">
        <v>2</v>
      </c>
      <c r="AY27" s="32">
        <v>20</v>
      </c>
      <c r="AZ27" s="148">
        <f>燃料消費量!$E$28</f>
        <v>0.35</v>
      </c>
      <c r="BA27" s="148"/>
      <c r="BB27" s="98">
        <f t="shared" si="12"/>
        <v>5.8685012690302543</v>
      </c>
      <c r="BC27" s="7">
        <f t="shared" si="4"/>
        <v>16.767146482943584</v>
      </c>
      <c r="BE27" s="6">
        <v>7</v>
      </c>
      <c r="BF27" s="36"/>
      <c r="BG27" s="36" t="s">
        <v>99</v>
      </c>
      <c r="BH27" s="34">
        <v>2</v>
      </c>
      <c r="BI27" s="32">
        <v>24.759</v>
      </c>
      <c r="BJ27" s="148">
        <f>燃料消費量!$D$29</f>
        <v>0.35</v>
      </c>
      <c r="BK27" s="148"/>
      <c r="BL27" s="98">
        <f t="shared" si="13"/>
        <v>4.908501269030257</v>
      </c>
      <c r="BM27" s="7">
        <f t="shared" si="5"/>
        <v>14.024289340086449</v>
      </c>
      <c r="BO27" s="6">
        <v>7</v>
      </c>
      <c r="BP27" s="36"/>
      <c r="BQ27" s="36" t="s">
        <v>99</v>
      </c>
      <c r="BR27" s="34">
        <v>2</v>
      </c>
      <c r="BS27" s="32">
        <v>25.375</v>
      </c>
      <c r="BT27" s="148">
        <f>燃料消費量!$E$30</f>
        <v>0.35</v>
      </c>
      <c r="BU27" s="148"/>
      <c r="BV27" s="98">
        <f t="shared" si="14"/>
        <v>3.2485012690302573</v>
      </c>
      <c r="BW27" s="7">
        <f t="shared" si="6"/>
        <v>9.2814321972293072</v>
      </c>
      <c r="BY27" s="6">
        <v>7</v>
      </c>
      <c r="BZ27" s="36"/>
      <c r="CA27" s="36" t="s">
        <v>99</v>
      </c>
      <c r="CB27" s="34">
        <v>2</v>
      </c>
      <c r="CC27" s="32">
        <v>30.308</v>
      </c>
      <c r="CD27" s="148">
        <f>燃料消費量!$E$40</f>
        <v>0.35</v>
      </c>
      <c r="CE27" s="148"/>
      <c r="CF27" s="98">
        <f t="shared" si="15"/>
        <v>3.6885012690302577</v>
      </c>
      <c r="CG27" s="7">
        <f t="shared" si="7"/>
        <v>10.538575054372165</v>
      </c>
      <c r="CI27" s="6">
        <v>7</v>
      </c>
      <c r="CJ27" s="36"/>
      <c r="CK27" s="36" t="s">
        <v>99</v>
      </c>
      <c r="CL27" s="34">
        <v>2</v>
      </c>
      <c r="CM27" s="32">
        <v>24.765000000000001</v>
      </c>
      <c r="CN27" s="148">
        <f>燃料消費量!$D$29</f>
        <v>0.35</v>
      </c>
      <c r="CO27" s="148"/>
      <c r="CP27" s="98">
        <f t="shared" si="16"/>
        <v>4.478501269030259</v>
      </c>
      <c r="CQ27" s="7">
        <f t="shared" si="17"/>
        <v>12.795717911515027</v>
      </c>
      <c r="CS27" s="6">
        <v>7</v>
      </c>
      <c r="CT27" s="36"/>
      <c r="CU27" s="36"/>
      <c r="CV27" s="34"/>
      <c r="CW27" s="32"/>
      <c r="CX27" s="148" t="str">
        <f t="shared" si="18"/>
        <v/>
      </c>
      <c r="CY27" s="148"/>
      <c r="CZ27" s="98" t="str">
        <f t="shared" si="19"/>
        <v/>
      </c>
      <c r="DA27" s="7" t="str">
        <f t="shared" si="20"/>
        <v/>
      </c>
      <c r="DC27" s="6">
        <v>7</v>
      </c>
      <c r="DD27" s="36"/>
      <c r="DE27" s="36"/>
      <c r="DF27" s="34"/>
      <c r="DG27" s="32"/>
      <c r="DH27" s="148" t="str">
        <f t="shared" si="21"/>
        <v/>
      </c>
      <c r="DI27" s="148"/>
      <c r="DJ27" s="98" t="str">
        <f t="shared" si="22"/>
        <v/>
      </c>
      <c r="DK27" s="7" t="str">
        <f t="shared" si="23"/>
        <v/>
      </c>
      <c r="DM27" s="6">
        <v>7</v>
      </c>
      <c r="DN27" s="36"/>
      <c r="DO27" s="36"/>
      <c r="DP27" s="34"/>
      <c r="DQ27" s="32"/>
      <c r="DR27" s="148" t="str">
        <f t="shared" si="24"/>
        <v/>
      </c>
      <c r="DS27" s="148"/>
      <c r="DT27" s="98" t="str">
        <f t="shared" si="25"/>
        <v/>
      </c>
      <c r="DU27" s="7" t="str">
        <f t="shared" si="26"/>
        <v/>
      </c>
    </row>
    <row r="28" spans="1:125" x14ac:dyDescent="0.2">
      <c r="G28" s="6">
        <v>8</v>
      </c>
      <c r="H28" s="36"/>
      <c r="I28" s="36" t="s">
        <v>99</v>
      </c>
      <c r="J28" s="34">
        <v>2</v>
      </c>
      <c r="K28" s="32">
        <v>23.981000000000002</v>
      </c>
      <c r="L28" s="148">
        <f>燃料消費量!$B$27</f>
        <v>0.35</v>
      </c>
      <c r="M28" s="148"/>
      <c r="N28" s="98">
        <f t="shared" si="0"/>
        <v>11.100000000000003</v>
      </c>
      <c r="O28" s="7">
        <f t="shared" si="2"/>
        <v>31.714285714285726</v>
      </c>
      <c r="Q28" s="6">
        <v>8</v>
      </c>
      <c r="R28" s="36"/>
      <c r="S28" s="36" t="s">
        <v>99</v>
      </c>
      <c r="T28" s="34">
        <v>2</v>
      </c>
      <c r="U28" s="32">
        <v>26.667000000000002</v>
      </c>
      <c r="V28" s="148">
        <f t="shared" si="8"/>
        <v>0.3504656204379562</v>
      </c>
      <c r="W28" s="148"/>
      <c r="X28" s="98">
        <f t="shared" si="1"/>
        <v>10.136740656934307</v>
      </c>
      <c r="Y28" s="7">
        <f t="shared" si="9"/>
        <v>28.923637771565215</v>
      </c>
      <c r="AA28" s="6">
        <v>8</v>
      </c>
      <c r="AB28" s="36"/>
      <c r="AC28" s="36" t="s">
        <v>99</v>
      </c>
      <c r="AD28" s="34">
        <v>2</v>
      </c>
      <c r="AE28" s="32">
        <v>25.762</v>
      </c>
      <c r="AF28" s="148">
        <f>燃料消費量!$D$31</f>
        <v>0.35</v>
      </c>
      <c r="AG28" s="148"/>
      <c r="AH28" s="98">
        <f t="shared" si="10"/>
        <v>9.5389668894681989</v>
      </c>
      <c r="AI28" s="7">
        <f t="shared" si="3"/>
        <v>27.254191112766286</v>
      </c>
      <c r="AK28" s="6">
        <v>8</v>
      </c>
      <c r="AL28" s="36"/>
      <c r="AM28" s="36" t="s">
        <v>99</v>
      </c>
      <c r="AN28" s="34">
        <v>2</v>
      </c>
      <c r="AO28" s="32">
        <v>23.600999999999999</v>
      </c>
      <c r="AP28" s="148">
        <f>燃料消費量!$B$26</f>
        <v>0.35</v>
      </c>
      <c r="AQ28" s="148"/>
      <c r="AR28" s="98">
        <f t="shared" si="11"/>
        <v>6.4785012690302501</v>
      </c>
      <c r="AS28" s="7">
        <f t="shared" si="27"/>
        <v>18.510003625800717</v>
      </c>
      <c r="AT28" s="3"/>
      <c r="AU28" s="6">
        <v>8</v>
      </c>
      <c r="AV28" s="36"/>
      <c r="AW28" s="36" t="s">
        <v>6</v>
      </c>
      <c r="AX28" s="34">
        <v>2</v>
      </c>
      <c r="AY28" s="32">
        <v>20</v>
      </c>
      <c r="AZ28" s="148">
        <f>燃料消費量!$E$34</f>
        <v>0.35</v>
      </c>
      <c r="BA28" s="148"/>
      <c r="BB28" s="98">
        <f t="shared" si="12"/>
        <v>5.5185012690302546</v>
      </c>
      <c r="BC28" s="7">
        <f t="shared" si="4"/>
        <v>15.767146482943586</v>
      </c>
      <c r="BE28" s="6">
        <v>8</v>
      </c>
      <c r="BF28" s="36"/>
      <c r="BG28" s="36" t="s">
        <v>99</v>
      </c>
      <c r="BH28" s="34">
        <v>2</v>
      </c>
      <c r="BI28" s="32">
        <v>23.850999999999999</v>
      </c>
      <c r="BJ28" s="148">
        <f>燃料消費量!$D$27</f>
        <v>0.35</v>
      </c>
      <c r="BK28" s="148"/>
      <c r="BL28" s="98">
        <f t="shared" si="13"/>
        <v>4.5585012690302573</v>
      </c>
      <c r="BM28" s="7">
        <f t="shared" si="5"/>
        <v>13.024289340086451</v>
      </c>
      <c r="BO28" s="6">
        <v>8</v>
      </c>
      <c r="BP28" s="36"/>
      <c r="BQ28" s="36" t="s">
        <v>99</v>
      </c>
      <c r="BR28" s="34">
        <v>2</v>
      </c>
      <c r="BS28" s="32">
        <v>25.279</v>
      </c>
      <c r="BT28" s="148">
        <f>燃料消費量!$E$30</f>
        <v>0.35</v>
      </c>
      <c r="BU28" s="148"/>
      <c r="BV28" s="98">
        <f t="shared" si="14"/>
        <v>2.8985012690302572</v>
      </c>
      <c r="BW28" s="7">
        <f t="shared" si="6"/>
        <v>8.2814321972293072</v>
      </c>
      <c r="BY28" s="6">
        <v>8</v>
      </c>
      <c r="BZ28" s="36"/>
      <c r="CA28" s="36" t="s">
        <v>99</v>
      </c>
      <c r="CB28" s="34">
        <v>2</v>
      </c>
      <c r="CC28" s="32">
        <v>28.032</v>
      </c>
      <c r="CD28" s="148">
        <f>燃料消費量!$E$35</f>
        <v>0.35</v>
      </c>
      <c r="CE28" s="148"/>
      <c r="CF28" s="98">
        <f t="shared" si="15"/>
        <v>3.3385012690302576</v>
      </c>
      <c r="CG28" s="7">
        <f t="shared" si="7"/>
        <v>9.5385750543721652</v>
      </c>
      <c r="CI28" s="6">
        <v>8</v>
      </c>
      <c r="CJ28" s="36"/>
      <c r="CK28" s="36" t="s">
        <v>99</v>
      </c>
      <c r="CL28" s="34">
        <v>2</v>
      </c>
      <c r="CM28" s="32">
        <v>25.962</v>
      </c>
      <c r="CN28" s="148">
        <f>燃料消費量!$D$31</f>
        <v>0.35</v>
      </c>
      <c r="CO28" s="148"/>
      <c r="CP28" s="98">
        <f t="shared" si="16"/>
        <v>4.1285012690302594</v>
      </c>
      <c r="CQ28" s="7">
        <f t="shared" si="17"/>
        <v>11.795717911515027</v>
      </c>
      <c r="CS28" s="6">
        <v>8</v>
      </c>
      <c r="CT28" s="36"/>
      <c r="CU28" s="36"/>
      <c r="CV28" s="34"/>
      <c r="CW28" s="32"/>
      <c r="CX28" s="148" t="str">
        <f t="shared" si="18"/>
        <v/>
      </c>
      <c r="CY28" s="148"/>
      <c r="CZ28" s="98" t="str">
        <f t="shared" si="19"/>
        <v/>
      </c>
      <c r="DA28" s="7" t="str">
        <f t="shared" si="20"/>
        <v/>
      </c>
      <c r="DC28" s="6">
        <v>8</v>
      </c>
      <c r="DD28" s="36"/>
      <c r="DE28" s="36"/>
      <c r="DF28" s="34"/>
      <c r="DG28" s="32"/>
      <c r="DH28" s="148" t="str">
        <f t="shared" si="21"/>
        <v/>
      </c>
      <c r="DI28" s="148"/>
      <c r="DJ28" s="98" t="str">
        <f t="shared" si="22"/>
        <v/>
      </c>
      <c r="DK28" s="7" t="str">
        <f t="shared" si="23"/>
        <v/>
      </c>
      <c r="DM28" s="6">
        <v>8</v>
      </c>
      <c r="DN28" s="36"/>
      <c r="DO28" s="36"/>
      <c r="DP28" s="34"/>
      <c r="DQ28" s="32"/>
      <c r="DR28" s="148" t="str">
        <f t="shared" si="24"/>
        <v/>
      </c>
      <c r="DS28" s="148"/>
      <c r="DT28" s="98" t="str">
        <f t="shared" si="25"/>
        <v/>
      </c>
      <c r="DU28" s="7" t="str">
        <f t="shared" si="26"/>
        <v/>
      </c>
    </row>
    <row r="29" spans="1:125" x14ac:dyDescent="0.2">
      <c r="A29" s="15"/>
      <c r="G29" s="6">
        <v>9</v>
      </c>
      <c r="H29" s="36"/>
      <c r="I29" s="36" t="s">
        <v>99</v>
      </c>
      <c r="J29" s="34">
        <v>2</v>
      </c>
      <c r="K29" s="32">
        <v>25.07</v>
      </c>
      <c r="L29" s="148">
        <f>燃料消費量!$B$29</f>
        <v>0.35</v>
      </c>
      <c r="M29" s="148"/>
      <c r="N29" s="98">
        <f t="shared" si="0"/>
        <v>10.750000000000004</v>
      </c>
      <c r="O29" s="7">
        <f t="shared" si="2"/>
        <v>30.714285714285726</v>
      </c>
      <c r="Q29" s="6">
        <v>9</v>
      </c>
      <c r="R29" s="36"/>
      <c r="S29" s="36" t="s">
        <v>99</v>
      </c>
      <c r="T29" s="34">
        <v>2</v>
      </c>
      <c r="U29" s="32">
        <v>25.341000000000001</v>
      </c>
      <c r="V29" s="148">
        <f t="shared" si="8"/>
        <v>0.3504656204379562</v>
      </c>
      <c r="W29" s="148"/>
      <c r="X29" s="98">
        <f t="shared" si="1"/>
        <v>9.7862750364963507</v>
      </c>
      <c r="Y29" s="7">
        <f t="shared" si="9"/>
        <v>27.923637771565211</v>
      </c>
      <c r="AA29" s="6">
        <v>9</v>
      </c>
      <c r="AB29" s="36"/>
      <c r="AC29" s="36" t="s">
        <v>99</v>
      </c>
      <c r="AD29" s="34">
        <v>2</v>
      </c>
      <c r="AE29" s="32">
        <v>26.920999999999999</v>
      </c>
      <c r="AF29" s="148">
        <f>燃料消費量!$D$33</f>
        <v>0.35</v>
      </c>
      <c r="AG29" s="148"/>
      <c r="AH29" s="98">
        <f t="shared" si="10"/>
        <v>9.1889668894681993</v>
      </c>
      <c r="AI29" s="7">
        <f t="shared" si="3"/>
        <v>26.254191112766286</v>
      </c>
      <c r="AK29" s="6">
        <v>9</v>
      </c>
      <c r="AL29" s="36"/>
      <c r="AM29" s="36" t="s">
        <v>99</v>
      </c>
      <c r="AN29" s="34">
        <v>2</v>
      </c>
      <c r="AO29" s="32">
        <v>23.068000000000001</v>
      </c>
      <c r="AP29" s="148">
        <f>燃料消費量!$B$25</f>
        <v>0.35</v>
      </c>
      <c r="AQ29" s="148"/>
      <c r="AR29" s="98">
        <f t="shared" si="11"/>
        <v>6.1285012690302505</v>
      </c>
      <c r="AS29" s="7">
        <f t="shared" si="27"/>
        <v>17.510003625800717</v>
      </c>
      <c r="AT29" s="3"/>
      <c r="AU29" s="6">
        <v>9</v>
      </c>
      <c r="AV29" s="36"/>
      <c r="AW29" s="36" t="s">
        <v>6</v>
      </c>
      <c r="AX29" s="34">
        <v>2</v>
      </c>
      <c r="AY29" s="32">
        <v>20</v>
      </c>
      <c r="AZ29" s="148">
        <f>燃料消費量!$E$30</f>
        <v>0.35</v>
      </c>
      <c r="BA29" s="148"/>
      <c r="BB29" s="98">
        <f t="shared" si="12"/>
        <v>5.168501269030255</v>
      </c>
      <c r="BC29" s="7">
        <f t="shared" si="4"/>
        <v>14.767146482943586</v>
      </c>
      <c r="BE29" s="6">
        <v>9</v>
      </c>
      <c r="BF29" s="36"/>
      <c r="BG29" s="36" t="s">
        <v>99</v>
      </c>
      <c r="BH29" s="34">
        <v>2</v>
      </c>
      <c r="BI29" s="32">
        <v>25.407</v>
      </c>
      <c r="BJ29" s="148">
        <f>燃料消費量!$D$30</f>
        <v>0.35</v>
      </c>
      <c r="BK29" s="148"/>
      <c r="BL29" s="98">
        <f t="shared" si="13"/>
        <v>4.2085012690302577</v>
      </c>
      <c r="BM29" s="7">
        <f t="shared" si="5"/>
        <v>12.024289340086451</v>
      </c>
      <c r="BO29" s="6">
        <v>9</v>
      </c>
      <c r="BP29" s="36"/>
      <c r="BQ29" s="36" t="s">
        <v>99</v>
      </c>
      <c r="BR29" s="34">
        <v>2</v>
      </c>
      <c r="BS29" s="32">
        <v>24.616</v>
      </c>
      <c r="BT29" s="148">
        <f>燃料消費量!$E$28</f>
        <v>0.35</v>
      </c>
      <c r="BU29" s="148"/>
      <c r="BV29" s="98">
        <f t="shared" si="14"/>
        <v>2.5485012690302571</v>
      </c>
      <c r="BW29" s="7">
        <f t="shared" si="6"/>
        <v>7.2814321972293063</v>
      </c>
      <c r="BY29" s="6">
        <v>9</v>
      </c>
      <c r="BZ29" s="36"/>
      <c r="CA29" s="36" t="s">
        <v>99</v>
      </c>
      <c r="CB29" s="34">
        <v>2</v>
      </c>
      <c r="CC29" s="32">
        <v>29.564</v>
      </c>
      <c r="CD29" s="148">
        <f>燃料消費量!$E$38</f>
        <v>0.35</v>
      </c>
      <c r="CE29" s="148"/>
      <c r="CF29" s="98">
        <f t="shared" si="15"/>
        <v>2.9885012690302575</v>
      </c>
      <c r="CG29" s="7">
        <f t="shared" si="7"/>
        <v>8.5385750543721652</v>
      </c>
      <c r="CI29" s="6">
        <v>9</v>
      </c>
      <c r="CJ29" s="36"/>
      <c r="CK29" s="36" t="s">
        <v>99</v>
      </c>
      <c r="CL29" s="34">
        <v>2</v>
      </c>
      <c r="CM29" s="32">
        <v>25.343</v>
      </c>
      <c r="CN29" s="148">
        <f>燃料消費量!$D$30</f>
        <v>0.35</v>
      </c>
      <c r="CO29" s="148"/>
      <c r="CP29" s="98">
        <f t="shared" si="16"/>
        <v>3.7785012690302593</v>
      </c>
      <c r="CQ29" s="7">
        <f t="shared" si="17"/>
        <v>10.795717911515027</v>
      </c>
      <c r="CS29" s="6">
        <v>9</v>
      </c>
      <c r="CT29" s="36"/>
      <c r="CU29" s="36"/>
      <c r="CV29" s="34"/>
      <c r="CW29" s="32"/>
      <c r="CX29" s="148" t="str">
        <f t="shared" si="18"/>
        <v/>
      </c>
      <c r="CY29" s="148"/>
      <c r="CZ29" s="98" t="str">
        <f t="shared" si="19"/>
        <v/>
      </c>
      <c r="DA29" s="7" t="str">
        <f t="shared" si="20"/>
        <v/>
      </c>
      <c r="DC29" s="6">
        <v>9</v>
      </c>
      <c r="DD29" s="36"/>
      <c r="DE29" s="36"/>
      <c r="DF29" s="34"/>
      <c r="DG29" s="32"/>
      <c r="DH29" s="148" t="str">
        <f t="shared" si="21"/>
        <v/>
      </c>
      <c r="DI29" s="148"/>
      <c r="DJ29" s="98" t="str">
        <f t="shared" si="22"/>
        <v/>
      </c>
      <c r="DK29" s="7" t="str">
        <f t="shared" si="23"/>
        <v/>
      </c>
      <c r="DM29" s="6">
        <v>9</v>
      </c>
      <c r="DN29" s="36"/>
      <c r="DO29" s="36"/>
      <c r="DP29" s="34"/>
      <c r="DQ29" s="32"/>
      <c r="DR29" s="148" t="str">
        <f t="shared" si="24"/>
        <v/>
      </c>
      <c r="DS29" s="148"/>
      <c r="DT29" s="98" t="str">
        <f t="shared" si="25"/>
        <v/>
      </c>
      <c r="DU29" s="7" t="str">
        <f t="shared" si="26"/>
        <v/>
      </c>
    </row>
    <row r="30" spans="1:125" x14ac:dyDescent="0.2">
      <c r="A30" s="15"/>
      <c r="G30" s="6">
        <v>10</v>
      </c>
      <c r="H30" s="36"/>
      <c r="I30" s="36" t="s">
        <v>99</v>
      </c>
      <c r="J30" s="34">
        <v>2</v>
      </c>
      <c r="K30" s="32">
        <v>24.75</v>
      </c>
      <c r="L30" s="148">
        <f>燃料消費量!$B$29</f>
        <v>0.35</v>
      </c>
      <c r="M30" s="148"/>
      <c r="N30" s="98">
        <f t="shared" si="0"/>
        <v>10.400000000000004</v>
      </c>
      <c r="O30" s="7">
        <f t="shared" si="2"/>
        <v>29.714285714285726</v>
      </c>
      <c r="Q30" s="6">
        <v>10</v>
      </c>
      <c r="R30" s="36"/>
      <c r="S30" s="36" t="s">
        <v>99</v>
      </c>
      <c r="T30" s="34">
        <v>2</v>
      </c>
      <c r="U30" s="32">
        <v>27.096</v>
      </c>
      <c r="V30" s="148">
        <f t="shared" si="8"/>
        <v>0.3504656204379562</v>
      </c>
      <c r="W30" s="148"/>
      <c r="X30" s="98">
        <f t="shared" si="1"/>
        <v>9.4358094160583939</v>
      </c>
      <c r="Y30" s="7">
        <f t="shared" si="9"/>
        <v>26.923637771565211</v>
      </c>
      <c r="AA30" s="6">
        <v>10</v>
      </c>
      <c r="AB30" s="36"/>
      <c r="AC30" s="36" t="s">
        <v>99</v>
      </c>
      <c r="AD30" s="34">
        <v>2</v>
      </c>
      <c r="AE30" s="32">
        <v>25.611999999999998</v>
      </c>
      <c r="AF30" s="148">
        <f>燃料消費量!$D$30</f>
        <v>0.35</v>
      </c>
      <c r="AG30" s="148"/>
      <c r="AH30" s="98">
        <f t="shared" si="10"/>
        <v>8.8389668894681996</v>
      </c>
      <c r="AI30" s="7">
        <f t="shared" si="3"/>
        <v>25.254191112766286</v>
      </c>
      <c r="AK30" s="6">
        <v>10</v>
      </c>
      <c r="AL30" s="36"/>
      <c r="AM30" s="36" t="s">
        <v>99</v>
      </c>
      <c r="AN30" s="34">
        <v>2</v>
      </c>
      <c r="AO30" s="32">
        <v>22.777999999999999</v>
      </c>
      <c r="AP30" s="148">
        <f>燃料消費量!$B$25</f>
        <v>0.35</v>
      </c>
      <c r="AQ30" s="148"/>
      <c r="AR30" s="98">
        <f t="shared" si="11"/>
        <v>5.7785012690302509</v>
      </c>
      <c r="AS30" s="7">
        <f t="shared" si="27"/>
        <v>16.510003625800717</v>
      </c>
      <c r="AT30" s="3"/>
      <c r="AU30" s="6">
        <v>10</v>
      </c>
      <c r="AV30" s="36"/>
      <c r="AW30" s="36" t="s">
        <v>6</v>
      </c>
      <c r="AX30" s="34">
        <v>2</v>
      </c>
      <c r="AY30" s="32">
        <v>20</v>
      </c>
      <c r="AZ30" s="148">
        <f>燃料消費量!$E$26</f>
        <v>0.35</v>
      </c>
      <c r="BA30" s="148"/>
      <c r="BB30" s="98">
        <f t="shared" si="12"/>
        <v>4.8185012690302553</v>
      </c>
      <c r="BC30" s="7">
        <f t="shared" si="4"/>
        <v>13.767146482943588</v>
      </c>
      <c r="BE30" s="6">
        <v>10</v>
      </c>
      <c r="BF30" s="36"/>
      <c r="BG30" s="36" t="s">
        <v>99</v>
      </c>
      <c r="BH30" s="34">
        <v>2</v>
      </c>
      <c r="BI30" s="32">
        <v>24.206</v>
      </c>
      <c r="BJ30" s="148">
        <f>燃料消費量!$D$27</f>
        <v>0.35</v>
      </c>
      <c r="BK30" s="148"/>
      <c r="BL30" s="98">
        <f t="shared" si="13"/>
        <v>3.8585012690302576</v>
      </c>
      <c r="BM30" s="7">
        <f t="shared" si="5"/>
        <v>11.024289340086451</v>
      </c>
      <c r="BO30" s="6">
        <v>10</v>
      </c>
      <c r="BP30" s="36"/>
      <c r="BQ30" s="36" t="s">
        <v>99</v>
      </c>
      <c r="BR30" s="34">
        <v>2</v>
      </c>
      <c r="BS30" s="32">
        <v>22.962</v>
      </c>
      <c r="BT30" s="148">
        <f>燃料消費量!$E$25</f>
        <v>0.35</v>
      </c>
      <c r="BU30" s="148"/>
      <c r="BV30" s="98">
        <f t="shared" si="14"/>
        <v>2.198501269030257</v>
      </c>
      <c r="BW30" s="7">
        <f t="shared" si="6"/>
        <v>6.2814321972293063</v>
      </c>
      <c r="BY30" s="6">
        <v>10</v>
      </c>
      <c r="BZ30" s="36"/>
      <c r="CA30" s="36" t="s">
        <v>99</v>
      </c>
      <c r="CB30" s="34">
        <v>2</v>
      </c>
      <c r="CC30" s="32">
        <v>27.282</v>
      </c>
      <c r="CD30" s="148">
        <f>燃料消費量!$E$34</f>
        <v>0.35</v>
      </c>
      <c r="CE30" s="148"/>
      <c r="CF30" s="98">
        <f t="shared" si="15"/>
        <v>2.6385012690302574</v>
      </c>
      <c r="CG30" s="7">
        <f t="shared" si="7"/>
        <v>7.5385750543721644</v>
      </c>
      <c r="CI30" s="6">
        <v>10</v>
      </c>
      <c r="CJ30" s="36"/>
      <c r="CK30" s="36" t="s">
        <v>99</v>
      </c>
      <c r="CL30" s="34">
        <v>2</v>
      </c>
      <c r="CM30" s="32">
        <v>25.327999999999999</v>
      </c>
      <c r="CN30" s="148">
        <f>燃料消費量!$D$30</f>
        <v>0.35</v>
      </c>
      <c r="CO30" s="148"/>
      <c r="CP30" s="98">
        <f t="shared" si="16"/>
        <v>3.4285012690302592</v>
      </c>
      <c r="CQ30" s="7">
        <f t="shared" si="17"/>
        <v>9.7957179115150268</v>
      </c>
      <c r="CS30" s="6">
        <v>10</v>
      </c>
      <c r="CT30" s="36"/>
      <c r="CU30" s="36"/>
      <c r="CV30" s="34"/>
      <c r="CW30" s="32"/>
      <c r="CX30" s="148" t="str">
        <f t="shared" si="18"/>
        <v/>
      </c>
      <c r="CY30" s="148"/>
      <c r="CZ30" s="98" t="str">
        <f t="shared" si="19"/>
        <v/>
      </c>
      <c r="DA30" s="7" t="str">
        <f t="shared" si="20"/>
        <v/>
      </c>
      <c r="DC30" s="6">
        <v>10</v>
      </c>
      <c r="DD30" s="36"/>
      <c r="DE30" s="36"/>
      <c r="DF30" s="34"/>
      <c r="DG30" s="32"/>
      <c r="DH30" s="148" t="str">
        <f t="shared" si="21"/>
        <v/>
      </c>
      <c r="DI30" s="148"/>
      <c r="DJ30" s="98" t="str">
        <f t="shared" si="22"/>
        <v/>
      </c>
      <c r="DK30" s="7" t="str">
        <f t="shared" si="23"/>
        <v/>
      </c>
      <c r="DM30" s="6">
        <v>10</v>
      </c>
      <c r="DN30" s="36"/>
      <c r="DO30" s="36"/>
      <c r="DP30" s="34"/>
      <c r="DQ30" s="32"/>
      <c r="DR30" s="148" t="str">
        <f t="shared" si="24"/>
        <v/>
      </c>
      <c r="DS30" s="148"/>
      <c r="DT30" s="98" t="str">
        <f t="shared" si="25"/>
        <v/>
      </c>
      <c r="DU30" s="7" t="str">
        <f t="shared" si="26"/>
        <v/>
      </c>
    </row>
    <row r="31" spans="1:125" x14ac:dyDescent="0.2">
      <c r="A31" s="15"/>
      <c r="G31" s="6">
        <v>11</v>
      </c>
      <c r="H31" s="36"/>
      <c r="I31" s="36" t="s">
        <v>99</v>
      </c>
      <c r="J31" s="34">
        <v>2</v>
      </c>
      <c r="K31" s="32">
        <v>23.053999999999998</v>
      </c>
      <c r="L31" s="148">
        <f>燃料消費量!$B$25</f>
        <v>0.35</v>
      </c>
      <c r="M31" s="148"/>
      <c r="N31" s="98">
        <f t="shared" si="0"/>
        <v>10.050000000000004</v>
      </c>
      <c r="O31" s="7">
        <f t="shared" si="2"/>
        <v>28.71428571428573</v>
      </c>
      <c r="Q31" s="6">
        <v>11</v>
      </c>
      <c r="R31" s="36"/>
      <c r="S31" s="36" t="s">
        <v>99</v>
      </c>
      <c r="T31" s="34">
        <v>2</v>
      </c>
      <c r="U31" s="32">
        <v>27.792999999999999</v>
      </c>
      <c r="V31" s="148">
        <f t="shared" si="8"/>
        <v>0.3504656204379562</v>
      </c>
      <c r="W31" s="148"/>
      <c r="X31" s="98">
        <f t="shared" si="1"/>
        <v>9.085343795620437</v>
      </c>
      <c r="Y31" s="7">
        <f t="shared" si="9"/>
        <v>25.923637771565208</v>
      </c>
      <c r="AA31" s="6">
        <v>11</v>
      </c>
      <c r="AB31" s="36"/>
      <c r="AC31" s="36" t="s">
        <v>99</v>
      </c>
      <c r="AD31" s="34">
        <v>2</v>
      </c>
      <c r="AE31" s="32">
        <v>25.300999999999998</v>
      </c>
      <c r="AF31" s="148">
        <f>燃料消費量!$D$30</f>
        <v>0.35</v>
      </c>
      <c r="AG31" s="148"/>
      <c r="AH31" s="98">
        <f t="shared" si="10"/>
        <v>8.4889668894682</v>
      </c>
      <c r="AI31" s="7">
        <f t="shared" si="3"/>
        <v>24.254191112766286</v>
      </c>
      <c r="AK31" s="6">
        <v>11</v>
      </c>
      <c r="AL31" s="36"/>
      <c r="AM31" s="36" t="s">
        <v>99</v>
      </c>
      <c r="AN31" s="34">
        <v>2</v>
      </c>
      <c r="AO31" s="32">
        <v>23.018000000000001</v>
      </c>
      <c r="AP31" s="148">
        <f>燃料消費量!$B$25</f>
        <v>0.35</v>
      </c>
      <c r="AQ31" s="148"/>
      <c r="AR31" s="98">
        <f t="shared" si="11"/>
        <v>5.4285012690302512</v>
      </c>
      <c r="AS31" s="7">
        <f t="shared" si="27"/>
        <v>15.510003625800719</v>
      </c>
      <c r="AT31" s="3"/>
      <c r="AU31" s="6">
        <v>11</v>
      </c>
      <c r="AV31" s="36"/>
      <c r="AW31" s="36" t="s">
        <v>6</v>
      </c>
      <c r="AX31" s="34">
        <v>2</v>
      </c>
      <c r="AY31" s="32">
        <v>20</v>
      </c>
      <c r="AZ31" s="148">
        <f>燃料消費量!$E$28</f>
        <v>0.35</v>
      </c>
      <c r="BA31" s="148"/>
      <c r="BB31" s="98">
        <f t="shared" si="12"/>
        <v>4.4685012690302557</v>
      </c>
      <c r="BC31" s="7">
        <f t="shared" si="4"/>
        <v>12.767146482943588</v>
      </c>
      <c r="BE31" s="6">
        <v>11</v>
      </c>
      <c r="BF31" s="36"/>
      <c r="BG31" s="36" t="s">
        <v>99</v>
      </c>
      <c r="BH31" s="34">
        <v>2</v>
      </c>
      <c r="BI31" s="32">
        <v>24.716000000000001</v>
      </c>
      <c r="BJ31" s="148">
        <f>燃料消費量!$D$28</f>
        <v>0.35</v>
      </c>
      <c r="BK31" s="148"/>
      <c r="BL31" s="98">
        <f t="shared" si="13"/>
        <v>3.5085012690302575</v>
      </c>
      <c r="BM31" s="7">
        <f t="shared" si="5"/>
        <v>10.024289340086451</v>
      </c>
      <c r="BO31" s="6">
        <v>11</v>
      </c>
      <c r="BP31" s="36"/>
      <c r="BQ31" s="36" t="s">
        <v>99</v>
      </c>
      <c r="BR31" s="34">
        <v>2</v>
      </c>
      <c r="BS31" s="32">
        <v>26.67</v>
      </c>
      <c r="BT31" s="148">
        <f>燃料消費量!$E$32</f>
        <v>0.35</v>
      </c>
      <c r="BU31" s="148"/>
      <c r="BV31" s="98">
        <f t="shared" si="14"/>
        <v>1.8485012690302569</v>
      </c>
      <c r="BW31" s="7">
        <f t="shared" si="6"/>
        <v>5.2814321972293055</v>
      </c>
      <c r="BY31" s="6">
        <v>11</v>
      </c>
      <c r="BZ31" s="36"/>
      <c r="CA31" s="36" t="s">
        <v>99</v>
      </c>
      <c r="CB31" s="34">
        <v>2</v>
      </c>
      <c r="CC31" s="32">
        <v>28.565999999999999</v>
      </c>
      <c r="CD31" s="148">
        <f>燃料消費量!$E$36</f>
        <v>0.35</v>
      </c>
      <c r="CE31" s="148"/>
      <c r="CF31" s="98">
        <f t="shared" si="15"/>
        <v>2.2885012690302573</v>
      </c>
      <c r="CG31" s="7">
        <f t="shared" si="7"/>
        <v>6.5385750543721644</v>
      </c>
      <c r="CI31" s="6">
        <v>11</v>
      </c>
      <c r="CJ31" s="36"/>
      <c r="CK31" s="36" t="s">
        <v>99</v>
      </c>
      <c r="CL31" s="34">
        <v>2</v>
      </c>
      <c r="CM31" s="32">
        <v>26.08</v>
      </c>
      <c r="CN31" s="148">
        <f>燃料消費量!$D$31</f>
        <v>0.35</v>
      </c>
      <c r="CO31" s="148"/>
      <c r="CP31" s="98">
        <f t="shared" si="16"/>
        <v>3.0785012690302591</v>
      </c>
      <c r="CQ31" s="7">
        <f t="shared" si="17"/>
        <v>8.7957179115150268</v>
      </c>
      <c r="CS31" s="6">
        <v>11</v>
      </c>
      <c r="CT31" s="36"/>
      <c r="CU31" s="36"/>
      <c r="CV31" s="34"/>
      <c r="CW31" s="32"/>
      <c r="CX31" s="148" t="str">
        <f t="shared" si="18"/>
        <v/>
      </c>
      <c r="CY31" s="148"/>
      <c r="CZ31" s="98" t="str">
        <f t="shared" si="19"/>
        <v/>
      </c>
      <c r="DA31" s="7" t="str">
        <f t="shared" si="20"/>
        <v/>
      </c>
      <c r="DC31" s="6">
        <v>11</v>
      </c>
      <c r="DD31" s="36"/>
      <c r="DE31" s="36"/>
      <c r="DF31" s="34"/>
      <c r="DG31" s="32"/>
      <c r="DH31" s="148" t="str">
        <f t="shared" si="21"/>
        <v/>
      </c>
      <c r="DI31" s="148"/>
      <c r="DJ31" s="98" t="str">
        <f t="shared" si="22"/>
        <v/>
      </c>
      <c r="DK31" s="7" t="str">
        <f t="shared" si="23"/>
        <v/>
      </c>
      <c r="DM31" s="6">
        <v>11</v>
      </c>
      <c r="DN31" s="36"/>
      <c r="DO31" s="36"/>
      <c r="DP31" s="34"/>
      <c r="DQ31" s="32"/>
      <c r="DR31" s="148" t="str">
        <f t="shared" si="24"/>
        <v/>
      </c>
      <c r="DS31" s="148"/>
      <c r="DT31" s="98" t="str">
        <f t="shared" si="25"/>
        <v/>
      </c>
      <c r="DU31" s="7" t="str">
        <f t="shared" si="26"/>
        <v/>
      </c>
    </row>
    <row r="32" spans="1:125" x14ac:dyDescent="0.2">
      <c r="G32" s="6">
        <v>12</v>
      </c>
      <c r="H32" s="36"/>
      <c r="I32" s="36" t="s">
        <v>99</v>
      </c>
      <c r="J32" s="34">
        <v>2</v>
      </c>
      <c r="K32" s="32">
        <v>23.274999999999999</v>
      </c>
      <c r="L32" s="148">
        <f>燃料消費量!$B$26</f>
        <v>0.35</v>
      </c>
      <c r="M32" s="148"/>
      <c r="N32" s="98">
        <f>IF(L32="","",N31-L32)</f>
        <v>9.7000000000000046</v>
      </c>
      <c r="O32" s="7">
        <f t="shared" si="2"/>
        <v>27.71428571428573</v>
      </c>
      <c r="Q32" s="6">
        <v>12</v>
      </c>
      <c r="R32" s="36"/>
      <c r="S32" s="36" t="s">
        <v>99</v>
      </c>
      <c r="T32" s="34">
        <v>2</v>
      </c>
      <c r="U32" s="32">
        <v>30.202999999999999</v>
      </c>
      <c r="V32" s="148">
        <f t="shared" si="8"/>
        <v>0.3504656204379562</v>
      </c>
      <c r="W32" s="148"/>
      <c r="X32" s="98">
        <f t="shared" si="1"/>
        <v>8.7348781751824802</v>
      </c>
      <c r="Y32" s="7">
        <f t="shared" si="9"/>
        <v>24.923637771565208</v>
      </c>
      <c r="AA32" s="6">
        <v>12</v>
      </c>
      <c r="AB32" s="36"/>
      <c r="AC32" s="36" t="s">
        <v>99</v>
      </c>
      <c r="AD32" s="34">
        <v>2</v>
      </c>
      <c r="AE32" s="32">
        <v>25.015999999999998</v>
      </c>
      <c r="AF32" s="148">
        <f>燃料消費量!$D$29</f>
        <v>0.35</v>
      </c>
      <c r="AG32" s="148"/>
      <c r="AH32" s="98">
        <f t="shared" si="10"/>
        <v>8.1389668894682003</v>
      </c>
      <c r="AI32" s="7">
        <f t="shared" si="3"/>
        <v>23.254191112766289</v>
      </c>
      <c r="AK32" s="6">
        <v>12</v>
      </c>
      <c r="AL32" s="117"/>
      <c r="AM32" s="36" t="s">
        <v>99</v>
      </c>
      <c r="AN32" s="34">
        <v>2</v>
      </c>
      <c r="AO32" s="32">
        <v>23.213000000000001</v>
      </c>
      <c r="AP32" s="148">
        <f>燃料消費量!$B$25</f>
        <v>0.35</v>
      </c>
      <c r="AQ32" s="148"/>
      <c r="AR32" s="98">
        <f t="shared" si="11"/>
        <v>5.0785012690302516</v>
      </c>
      <c r="AS32" s="7">
        <f t="shared" si="27"/>
        <v>14.510003625800719</v>
      </c>
      <c r="AT32" s="3"/>
      <c r="AU32" s="6">
        <v>12</v>
      </c>
      <c r="AV32" s="36"/>
      <c r="AW32" s="36" t="s">
        <v>6</v>
      </c>
      <c r="AX32" s="34">
        <v>2</v>
      </c>
      <c r="AY32" s="32">
        <v>20</v>
      </c>
      <c r="AZ32" s="148">
        <f>燃料消費量!$E$29</f>
        <v>0.35</v>
      </c>
      <c r="BA32" s="148"/>
      <c r="BB32" s="98">
        <f t="shared" si="12"/>
        <v>4.118501269030256</v>
      </c>
      <c r="BC32" s="7">
        <f t="shared" si="4"/>
        <v>11.767146482943589</v>
      </c>
      <c r="BE32" s="6">
        <v>12</v>
      </c>
      <c r="BF32" s="36"/>
      <c r="BG32" s="36" t="s">
        <v>99</v>
      </c>
      <c r="BH32" s="34">
        <v>2</v>
      </c>
      <c r="BI32" s="32">
        <v>25.850999999999999</v>
      </c>
      <c r="BJ32" s="148">
        <f>燃料消費量!$D$31</f>
        <v>0.35</v>
      </c>
      <c r="BK32" s="148"/>
      <c r="BL32" s="98">
        <f t="shared" si="13"/>
        <v>3.1585012690302574</v>
      </c>
      <c r="BM32" s="7">
        <f t="shared" si="5"/>
        <v>9.024289340086451</v>
      </c>
      <c r="BO32" s="6">
        <v>12</v>
      </c>
      <c r="BP32" s="36"/>
      <c r="BQ32" s="36" t="s">
        <v>99</v>
      </c>
      <c r="BR32" s="34">
        <v>2</v>
      </c>
      <c r="BS32" s="32">
        <v>22.832000000000001</v>
      </c>
      <c r="BT32" s="148">
        <f>燃料消費量!$E$25</f>
        <v>0.35</v>
      </c>
      <c r="BU32" s="148"/>
      <c r="BV32" s="98">
        <f t="shared" si="14"/>
        <v>1.4985012690302568</v>
      </c>
      <c r="BW32" s="7">
        <f t="shared" si="6"/>
        <v>4.2814321972293055</v>
      </c>
      <c r="BY32" s="6">
        <v>12</v>
      </c>
      <c r="BZ32" s="36"/>
      <c r="CA32" s="36" t="s">
        <v>99</v>
      </c>
      <c r="CB32" s="34">
        <v>2</v>
      </c>
      <c r="CC32" s="32">
        <v>31.391999999999999</v>
      </c>
      <c r="CD32" s="148">
        <f>燃料消費量!$E$42</f>
        <v>0.35</v>
      </c>
      <c r="CE32" s="148"/>
      <c r="CF32" s="98">
        <f t="shared" si="15"/>
        <v>1.9385012690302572</v>
      </c>
      <c r="CG32" s="7">
        <f t="shared" si="7"/>
        <v>5.5385750543721635</v>
      </c>
      <c r="CI32" s="6">
        <v>12</v>
      </c>
      <c r="CJ32" s="36"/>
      <c r="CK32" s="36" t="s">
        <v>99</v>
      </c>
      <c r="CL32" s="34">
        <v>2</v>
      </c>
      <c r="CM32" s="32">
        <v>29.745000000000001</v>
      </c>
      <c r="CN32" s="148">
        <f>燃料消費量!$D$38</f>
        <v>0.35</v>
      </c>
      <c r="CO32" s="148"/>
      <c r="CP32" s="98">
        <f t="shared" si="16"/>
        <v>2.728501269030259</v>
      </c>
      <c r="CQ32" s="7">
        <f t="shared" si="17"/>
        <v>7.7957179115150259</v>
      </c>
      <c r="CS32" s="6">
        <v>12</v>
      </c>
      <c r="CT32" s="36"/>
      <c r="CU32" s="36"/>
      <c r="CV32" s="34"/>
      <c r="CW32" s="32"/>
      <c r="CX32" s="148" t="str">
        <f t="shared" si="18"/>
        <v/>
      </c>
      <c r="CY32" s="148"/>
      <c r="CZ32" s="98" t="str">
        <f t="shared" si="19"/>
        <v/>
      </c>
      <c r="DA32" s="7" t="str">
        <f t="shared" si="20"/>
        <v/>
      </c>
      <c r="DC32" s="6">
        <v>12</v>
      </c>
      <c r="DD32" s="36"/>
      <c r="DE32" s="36"/>
      <c r="DF32" s="34"/>
      <c r="DG32" s="32"/>
      <c r="DH32" s="148" t="str">
        <f t="shared" si="21"/>
        <v/>
      </c>
      <c r="DI32" s="148"/>
      <c r="DJ32" s="98" t="str">
        <f t="shared" si="22"/>
        <v/>
      </c>
      <c r="DK32" s="7" t="str">
        <f t="shared" si="23"/>
        <v/>
      </c>
      <c r="DM32" s="6">
        <v>12</v>
      </c>
      <c r="DN32" s="36"/>
      <c r="DO32" s="36"/>
      <c r="DP32" s="34"/>
      <c r="DQ32" s="32"/>
      <c r="DR32" s="148" t="str">
        <f t="shared" si="24"/>
        <v/>
      </c>
      <c r="DS32" s="148"/>
      <c r="DT32" s="98" t="str">
        <f t="shared" si="25"/>
        <v/>
      </c>
      <c r="DU32" s="7" t="str">
        <f t="shared" si="26"/>
        <v/>
      </c>
    </row>
    <row r="33" spans="7:125" x14ac:dyDescent="0.2">
      <c r="G33" s="6">
        <v>13</v>
      </c>
      <c r="H33" s="36"/>
      <c r="I33" s="36" t="s">
        <v>99</v>
      </c>
      <c r="J33" s="34">
        <v>2</v>
      </c>
      <c r="K33" s="32">
        <v>23.221</v>
      </c>
      <c r="L33" s="148">
        <f>燃料消費量!$B$25</f>
        <v>0.35</v>
      </c>
      <c r="M33" s="148"/>
      <c r="N33" s="98">
        <f t="shared" si="0"/>
        <v>9.350000000000005</v>
      </c>
      <c r="O33" s="7">
        <f t="shared" si="2"/>
        <v>26.71428571428573</v>
      </c>
      <c r="Q33" s="6">
        <v>13</v>
      </c>
      <c r="R33" s="36"/>
      <c r="S33" s="36" t="s">
        <v>99</v>
      </c>
      <c r="T33" s="34">
        <v>2</v>
      </c>
      <c r="U33" s="32">
        <v>27.849</v>
      </c>
      <c r="V33" s="148">
        <f>燃料消費量!$E$35</f>
        <v>0.35</v>
      </c>
      <c r="W33" s="148"/>
      <c r="X33" s="98">
        <f t="shared" si="1"/>
        <v>8.3848781751824806</v>
      </c>
      <c r="Y33" s="7">
        <f>X33/V33</f>
        <v>23.956794786235662</v>
      </c>
      <c r="AA33" s="6">
        <v>13</v>
      </c>
      <c r="AB33" s="36"/>
      <c r="AC33" s="36" t="s">
        <v>99</v>
      </c>
      <c r="AD33" s="34">
        <v>2</v>
      </c>
      <c r="AE33" s="32">
        <v>25.844000000000001</v>
      </c>
      <c r="AF33" s="148">
        <f>燃料消費量!$D$31</f>
        <v>0.35</v>
      </c>
      <c r="AG33" s="148"/>
      <c r="AH33" s="98">
        <f t="shared" si="10"/>
        <v>7.7889668894682007</v>
      </c>
      <c r="AI33" s="7">
        <f t="shared" si="3"/>
        <v>22.254191112766289</v>
      </c>
      <c r="AK33" s="6">
        <v>13</v>
      </c>
      <c r="AL33" s="36"/>
      <c r="AM33" s="36" t="s">
        <v>99</v>
      </c>
      <c r="AN33" s="34">
        <v>2</v>
      </c>
      <c r="AO33" s="32">
        <v>24.382999999999999</v>
      </c>
      <c r="AP33" s="148">
        <f>燃料消費量!$B$28</f>
        <v>0.35</v>
      </c>
      <c r="AQ33" s="148"/>
      <c r="AR33" s="98">
        <f t="shared" si="11"/>
        <v>4.7285012690302519</v>
      </c>
      <c r="AS33" s="7">
        <f t="shared" si="27"/>
        <v>13.510003625800721</v>
      </c>
      <c r="AT33" s="3"/>
      <c r="AU33" s="6">
        <v>13</v>
      </c>
      <c r="AV33" s="36"/>
      <c r="AW33" s="36" t="s">
        <v>6</v>
      </c>
      <c r="AX33" s="34">
        <v>2</v>
      </c>
      <c r="AY33" s="32">
        <v>20</v>
      </c>
      <c r="AZ33" s="148">
        <f>燃料消費量!$E$27</f>
        <v>0.35</v>
      </c>
      <c r="BA33" s="148"/>
      <c r="BB33" s="98">
        <f t="shared" si="12"/>
        <v>3.768501269030256</v>
      </c>
      <c r="BC33" s="7">
        <f t="shared" si="4"/>
        <v>10.767146482943589</v>
      </c>
      <c r="BE33" s="6">
        <v>13</v>
      </c>
      <c r="BF33" s="36"/>
      <c r="BG33" s="36" t="s">
        <v>99</v>
      </c>
      <c r="BH33" s="34">
        <v>2</v>
      </c>
      <c r="BI33" s="32">
        <v>24.053999999999998</v>
      </c>
      <c r="BJ33" s="148">
        <f>燃料消費量!$D$27</f>
        <v>0.35</v>
      </c>
      <c r="BK33" s="148"/>
      <c r="BL33" s="98">
        <f t="shared" si="13"/>
        <v>2.8085012690302573</v>
      </c>
      <c r="BM33" s="7">
        <f t="shared" si="5"/>
        <v>8.0242893400864492</v>
      </c>
      <c r="BO33" s="6">
        <v>13</v>
      </c>
      <c r="BP33" s="36"/>
      <c r="BQ33" s="36" t="s">
        <v>99</v>
      </c>
      <c r="BR33" s="34">
        <v>2</v>
      </c>
      <c r="BS33" s="32">
        <v>22.602</v>
      </c>
      <c r="BT33" s="148">
        <f>燃料消費量!$B$24</f>
        <v>0.35</v>
      </c>
      <c r="BU33" s="148"/>
      <c r="BV33" s="98">
        <f t="shared" si="14"/>
        <v>1.1485012690302567</v>
      </c>
      <c r="BW33" s="7">
        <f t="shared" si="6"/>
        <v>3.281432197229305</v>
      </c>
      <c r="BY33" s="6">
        <v>13</v>
      </c>
      <c r="BZ33" s="36" t="s">
        <v>103</v>
      </c>
      <c r="CA33" s="36" t="s">
        <v>99</v>
      </c>
      <c r="CB33" s="34">
        <v>6</v>
      </c>
      <c r="CC33" s="32">
        <v>38.11</v>
      </c>
      <c r="CD33" s="148">
        <f>燃料消費量!$L$4</f>
        <v>0.33</v>
      </c>
      <c r="CE33" s="148"/>
      <c r="CF33" s="98">
        <f t="shared" si="15"/>
        <v>1.6085012690302571</v>
      </c>
      <c r="CG33" s="7">
        <f t="shared" si="7"/>
        <v>4.8742462697886575</v>
      </c>
      <c r="CI33" s="6">
        <v>13</v>
      </c>
      <c r="CJ33" s="36"/>
      <c r="CK33" s="36"/>
      <c r="CL33" s="34"/>
      <c r="CM33" s="32"/>
      <c r="CN33" s="148"/>
      <c r="CO33" s="148"/>
      <c r="CP33" s="98" t="str">
        <f t="shared" si="16"/>
        <v/>
      </c>
      <c r="CQ33" s="7"/>
      <c r="CS33" s="6">
        <v>13</v>
      </c>
      <c r="CT33" s="36"/>
      <c r="CU33" s="36"/>
      <c r="CV33" s="34"/>
      <c r="CW33" s="32"/>
      <c r="CX33" s="148" t="str">
        <f t="shared" si="18"/>
        <v/>
      </c>
      <c r="CY33" s="148"/>
      <c r="CZ33" s="98" t="str">
        <f t="shared" si="19"/>
        <v/>
      </c>
      <c r="DA33" s="7" t="str">
        <f t="shared" si="20"/>
        <v/>
      </c>
      <c r="DC33" s="6">
        <v>13</v>
      </c>
      <c r="DD33" s="36"/>
      <c r="DE33" s="36"/>
      <c r="DF33" s="34"/>
      <c r="DG33" s="32"/>
      <c r="DH33" s="148" t="str">
        <f t="shared" si="21"/>
        <v/>
      </c>
      <c r="DI33" s="148"/>
      <c r="DJ33" s="98" t="str">
        <f t="shared" si="22"/>
        <v/>
      </c>
      <c r="DK33" s="7" t="str">
        <f t="shared" si="23"/>
        <v/>
      </c>
      <c r="DM33" s="6">
        <v>13</v>
      </c>
      <c r="DN33" s="36"/>
      <c r="DO33" s="36"/>
      <c r="DP33" s="34"/>
      <c r="DQ33" s="32"/>
      <c r="DR33" s="148" t="str">
        <f t="shared" si="24"/>
        <v/>
      </c>
      <c r="DS33" s="148"/>
      <c r="DT33" s="98" t="str">
        <f t="shared" si="25"/>
        <v/>
      </c>
      <c r="DU33" s="7" t="str">
        <f t="shared" si="26"/>
        <v/>
      </c>
    </row>
    <row r="34" spans="7:125" x14ac:dyDescent="0.2">
      <c r="G34" s="6">
        <v>14</v>
      </c>
      <c r="H34" s="36"/>
      <c r="I34" s="36" t="s">
        <v>99</v>
      </c>
      <c r="J34" s="34">
        <v>2</v>
      </c>
      <c r="K34" s="32">
        <v>23.779</v>
      </c>
      <c r="L34" s="148">
        <f>燃料消費量!$B$27</f>
        <v>0.35</v>
      </c>
      <c r="M34" s="148"/>
      <c r="N34" s="98">
        <f t="shared" si="0"/>
        <v>9.0000000000000053</v>
      </c>
      <c r="O34" s="7">
        <f t="shared" si="2"/>
        <v>25.71428571428573</v>
      </c>
      <c r="Q34" s="6">
        <v>14</v>
      </c>
      <c r="R34" s="36"/>
      <c r="S34" s="36" t="s">
        <v>99</v>
      </c>
      <c r="T34" s="34">
        <v>2</v>
      </c>
      <c r="U34" s="32">
        <v>33.045999999999999</v>
      </c>
      <c r="V34" s="148">
        <f>燃料消費量!$E$45</f>
        <v>0.35</v>
      </c>
      <c r="W34" s="148"/>
      <c r="X34" s="98">
        <f t="shared" si="1"/>
        <v>8.0348781751824809</v>
      </c>
      <c r="Y34" s="7">
        <f>X34/V34</f>
        <v>22.956794786235662</v>
      </c>
      <c r="AA34" s="6">
        <v>14</v>
      </c>
      <c r="AB34" s="36"/>
      <c r="AC34" s="36" t="s">
        <v>99</v>
      </c>
      <c r="AD34" s="34">
        <v>2</v>
      </c>
      <c r="AE34" s="32">
        <v>24.655000000000001</v>
      </c>
      <c r="AF34" s="148">
        <f>燃料消費量!$D$28</f>
        <v>0.35</v>
      </c>
      <c r="AG34" s="148"/>
      <c r="AH34" s="98">
        <f t="shared" si="10"/>
        <v>7.4389668894682011</v>
      </c>
      <c r="AI34" s="7">
        <f t="shared" si="3"/>
        <v>21.254191112766289</v>
      </c>
      <c r="AK34" s="6">
        <v>14</v>
      </c>
      <c r="AL34" s="36"/>
      <c r="AM34" s="36" t="s">
        <v>99</v>
      </c>
      <c r="AN34" s="34">
        <v>2</v>
      </c>
      <c r="AO34" s="32">
        <v>26.64</v>
      </c>
      <c r="AP34" s="148">
        <f>燃料消費量!$B$32</f>
        <v>0.35</v>
      </c>
      <c r="AQ34" s="148"/>
      <c r="AR34" s="98">
        <f t="shared" si="11"/>
        <v>4.3785012690302523</v>
      </c>
      <c r="AS34" s="7">
        <f t="shared" si="27"/>
        <v>12.510003625800721</v>
      </c>
      <c r="AT34" s="3"/>
      <c r="AU34" s="6">
        <v>14</v>
      </c>
      <c r="AV34" s="36"/>
      <c r="AW34" s="36" t="s">
        <v>6</v>
      </c>
      <c r="AX34" s="34">
        <v>2</v>
      </c>
      <c r="AY34" s="32">
        <v>20</v>
      </c>
      <c r="AZ34" s="148">
        <f>燃料消費量!$E$32</f>
        <v>0.35</v>
      </c>
      <c r="BA34" s="148"/>
      <c r="BB34" s="98">
        <f t="shared" si="12"/>
        <v>3.4185012690302559</v>
      </c>
      <c r="BC34" s="7">
        <f t="shared" si="4"/>
        <v>9.7671464829435894</v>
      </c>
      <c r="BE34" s="6">
        <v>14</v>
      </c>
      <c r="BF34" s="36"/>
      <c r="BG34" s="36" t="s">
        <v>99</v>
      </c>
      <c r="BH34" s="34">
        <v>2</v>
      </c>
      <c r="BI34" s="32">
        <v>24.846</v>
      </c>
      <c r="BJ34" s="148">
        <f>燃料消費量!$D$29</f>
        <v>0.35</v>
      </c>
      <c r="BK34" s="148"/>
      <c r="BL34" s="98">
        <f t="shared" si="13"/>
        <v>2.4585012690302572</v>
      </c>
      <c r="BM34" s="7">
        <f t="shared" si="5"/>
        <v>7.0242893400864501</v>
      </c>
      <c r="BO34" s="6">
        <v>14</v>
      </c>
      <c r="BP34" s="36" t="s">
        <v>103</v>
      </c>
      <c r="BQ34" s="36" t="s">
        <v>99</v>
      </c>
      <c r="BR34" s="34">
        <v>6</v>
      </c>
      <c r="BS34" s="32">
        <v>25.692</v>
      </c>
      <c r="BT34" s="148">
        <f>燃料消費量!$L$4</f>
        <v>0.33</v>
      </c>
      <c r="BU34" s="148"/>
      <c r="BV34" s="98">
        <f t="shared" si="14"/>
        <v>0.81850126903025666</v>
      </c>
      <c r="BW34" s="7">
        <f t="shared" si="6"/>
        <v>2.4803068758492626</v>
      </c>
      <c r="BY34" s="6">
        <v>14</v>
      </c>
      <c r="BZ34" s="36"/>
      <c r="CA34" s="36"/>
      <c r="CB34" s="34"/>
      <c r="CC34" s="32"/>
      <c r="CD34" s="148" t="str">
        <f t="shared" ref="CD34:CD60" si="28">IF(BZ34="IN",CB$12,IF(BZ34="OUT",CB$10,IF(CA34="D",CA$10,IF(CA34="W",CA$11,IF(CA34="SC",CA$12,IF(CA34="EX1",CA$13,IF(CA34="EX2",CA$14,"")))))))</f>
        <v/>
      </c>
      <c r="CE34" s="148"/>
      <c r="CF34" s="98" t="str">
        <f t="shared" si="15"/>
        <v/>
      </c>
      <c r="CG34" s="7" t="str">
        <f t="shared" ref="CG34:CG60" si="29">IF(CA34="D",CF34/$CA$10,IF(CA34="W",CF34/$CA$11,IF(CA34="SC",CF34/$CA$12,IF(CA34="EX1",CF34/$CA$13,IF(CA34="EX2",CF34/$CA$14,"")))))</f>
        <v/>
      </c>
      <c r="CI34" s="6">
        <v>14</v>
      </c>
      <c r="CJ34" s="36"/>
      <c r="CK34" s="36"/>
      <c r="CL34" s="34"/>
      <c r="CM34" s="32"/>
      <c r="CN34" s="148"/>
      <c r="CO34" s="148"/>
      <c r="CP34" s="98" t="str">
        <f t="shared" si="16"/>
        <v/>
      </c>
      <c r="CQ34" s="7"/>
      <c r="CS34" s="6">
        <v>14</v>
      </c>
      <c r="CT34" s="36"/>
      <c r="CU34" s="36"/>
      <c r="CV34" s="34"/>
      <c r="CW34" s="32"/>
      <c r="CX34" s="148" t="str">
        <f t="shared" si="18"/>
        <v/>
      </c>
      <c r="CY34" s="148"/>
      <c r="CZ34" s="98" t="str">
        <f t="shared" si="19"/>
        <v/>
      </c>
      <c r="DA34" s="7" t="str">
        <f t="shared" si="20"/>
        <v/>
      </c>
      <c r="DC34" s="6">
        <v>14</v>
      </c>
      <c r="DD34" s="36"/>
      <c r="DE34" s="36"/>
      <c r="DF34" s="34"/>
      <c r="DG34" s="32"/>
      <c r="DH34" s="148" t="str">
        <f t="shared" si="21"/>
        <v/>
      </c>
      <c r="DI34" s="148"/>
      <c r="DJ34" s="98" t="str">
        <f t="shared" si="22"/>
        <v/>
      </c>
      <c r="DK34" s="7" t="str">
        <f t="shared" si="23"/>
        <v/>
      </c>
      <c r="DM34" s="6">
        <v>14</v>
      </c>
      <c r="DN34" s="36"/>
      <c r="DO34" s="36"/>
      <c r="DP34" s="34"/>
      <c r="DQ34" s="32"/>
      <c r="DR34" s="148" t="str">
        <f t="shared" si="24"/>
        <v/>
      </c>
      <c r="DS34" s="148"/>
      <c r="DT34" s="98" t="str">
        <f t="shared" si="25"/>
        <v/>
      </c>
      <c r="DU34" s="7" t="str">
        <f t="shared" si="26"/>
        <v/>
      </c>
    </row>
    <row r="35" spans="7:125" x14ac:dyDescent="0.2">
      <c r="G35" s="6">
        <v>15</v>
      </c>
      <c r="H35" s="36"/>
      <c r="I35" s="36" t="s">
        <v>99</v>
      </c>
      <c r="J35" s="34">
        <v>2</v>
      </c>
      <c r="K35" s="32">
        <v>23.794</v>
      </c>
      <c r="L35" s="148">
        <f>燃料消費量!$B$27</f>
        <v>0.35</v>
      </c>
      <c r="M35" s="148"/>
      <c r="N35" s="98">
        <f t="shared" si="0"/>
        <v>8.6500000000000057</v>
      </c>
      <c r="O35" s="7">
        <f t="shared" si="2"/>
        <v>24.714285714285733</v>
      </c>
      <c r="Q35" s="6">
        <v>15</v>
      </c>
      <c r="S35" s="36" t="s">
        <v>109</v>
      </c>
      <c r="T35" s="34">
        <v>4</v>
      </c>
      <c r="U35" s="32">
        <v>37.606000000000002</v>
      </c>
      <c r="V35" s="148">
        <f t="shared" ref="V35:V42" si="30">IF(R35="IN",T$12,IF(R35="OUT",T$10,IF(S35="D",S$10,IF(S35="W",S$11,IF(S35="SC",S$12,IF(S35="EX1",S$13,IF(S35="EX2",S$14,"")))))))</f>
        <v>0.34295564285714286</v>
      </c>
      <c r="W35" s="148"/>
      <c r="X35" s="98">
        <f t="shared" si="1"/>
        <v>7.6919225323253384</v>
      </c>
      <c r="Y35" s="7">
        <f t="shared" ref="Y35:Y42" si="31">IF(S35="D",X35/$S$10,IF(S35="W",X35/$S$11,IF(S35="SC",X35/$S$12,IF(S35="EX1",X35/$S$13,IF(S35="EX2",X35/$S$14,"")))))</f>
        <v>22.428330580142649</v>
      </c>
      <c r="AA35" s="6">
        <v>15</v>
      </c>
      <c r="AB35" s="36"/>
      <c r="AC35" s="36" t="s">
        <v>99</v>
      </c>
      <c r="AD35" s="34">
        <v>2</v>
      </c>
      <c r="AE35" s="32">
        <v>24.771000000000001</v>
      </c>
      <c r="AF35" s="148">
        <f>燃料消費量!$D$29</f>
        <v>0.35</v>
      </c>
      <c r="AG35" s="148"/>
      <c r="AH35" s="98">
        <f t="shared" si="10"/>
        <v>7.0889668894682014</v>
      </c>
      <c r="AI35" s="7">
        <f t="shared" si="3"/>
        <v>20.254191112766293</v>
      </c>
      <c r="AK35" s="6">
        <v>15</v>
      </c>
      <c r="AL35" s="118"/>
      <c r="AM35" s="36" t="s">
        <v>99</v>
      </c>
      <c r="AN35" s="34">
        <v>2</v>
      </c>
      <c r="AO35" s="32">
        <v>27.588999999999999</v>
      </c>
      <c r="AP35" s="148">
        <f>燃料消費量!$B$34</f>
        <v>0.35</v>
      </c>
      <c r="AQ35" s="148"/>
      <c r="AR35" s="98">
        <f t="shared" si="11"/>
        <v>4.0285012690302526</v>
      </c>
      <c r="AS35" s="7">
        <f t="shared" si="27"/>
        <v>11.510003625800723</v>
      </c>
      <c r="AT35" s="3"/>
      <c r="AU35" s="6">
        <v>15</v>
      </c>
      <c r="AV35" s="36"/>
      <c r="AW35" s="36" t="s">
        <v>6</v>
      </c>
      <c r="AX35" s="34">
        <v>2</v>
      </c>
      <c r="AY35" s="32">
        <v>20</v>
      </c>
      <c r="AZ35" s="148">
        <f>燃料消費量!$E$35</f>
        <v>0.35</v>
      </c>
      <c r="BA35" s="148"/>
      <c r="BB35" s="98">
        <f t="shared" si="12"/>
        <v>3.0685012690302558</v>
      </c>
      <c r="BC35" s="7">
        <f t="shared" si="4"/>
        <v>8.7671464829435877</v>
      </c>
      <c r="BE35" s="6">
        <v>15</v>
      </c>
      <c r="BF35" s="36"/>
      <c r="BG35" s="36" t="s">
        <v>99</v>
      </c>
      <c r="BH35" s="34">
        <v>2</v>
      </c>
      <c r="BI35" s="32">
        <v>23.504999999999999</v>
      </c>
      <c r="BJ35" s="148">
        <f>燃料消費量!$D$26</f>
        <v>0.35</v>
      </c>
      <c r="BK35" s="148"/>
      <c r="BL35" s="98">
        <f t="shared" si="13"/>
        <v>2.1085012690302571</v>
      </c>
      <c r="BM35" s="7">
        <f t="shared" si="5"/>
        <v>6.0242893400864492</v>
      </c>
      <c r="BO35" s="6">
        <v>15</v>
      </c>
      <c r="BP35" s="36"/>
      <c r="BQ35" s="36"/>
      <c r="BR35" s="34"/>
      <c r="BS35" s="32"/>
      <c r="BT35" s="148" t="str">
        <f t="shared" ref="BT35:BT43" si="32">IF(BP35="IN",BR$12,IF(BP35="OUT",BR$10,IF(BQ35="D",BQ$10,IF(BQ35="W",BQ$11,IF(BQ35="SC",BQ$12,IF(BQ35="EX1",BQ$13,IF(BQ35="EX2",BQ$14,"")))))))</f>
        <v/>
      </c>
      <c r="BU35" s="148"/>
      <c r="BV35" s="98" t="str">
        <f t="shared" si="14"/>
        <v/>
      </c>
      <c r="BW35" s="7" t="str">
        <f t="shared" ref="BW35:BW43" si="33">IF(BQ35="D",BV35/$BQ$10,IF(BQ35="W",BV35/$BQ$11,IF(BQ35="SC",BV35/$BQ$12,IF(BQ35="EX1",BV35/$BQ$13,IF(BQ35="EX2",BV35/$BQ$14,"")))))</f>
        <v/>
      </c>
      <c r="BY35" s="6">
        <v>15</v>
      </c>
      <c r="BZ35" s="36"/>
      <c r="CA35" s="36"/>
      <c r="CB35" s="34"/>
      <c r="CC35" s="32"/>
      <c r="CD35" s="148" t="str">
        <f t="shared" si="28"/>
        <v/>
      </c>
      <c r="CE35" s="148"/>
      <c r="CF35" s="98" t="str">
        <f t="shared" si="15"/>
        <v/>
      </c>
      <c r="CG35" s="7" t="str">
        <f t="shared" si="29"/>
        <v/>
      </c>
      <c r="CI35" s="6">
        <v>15</v>
      </c>
      <c r="CJ35" s="36"/>
      <c r="CK35" s="36"/>
      <c r="CL35" s="34"/>
      <c r="CM35" s="32"/>
      <c r="CN35" s="148"/>
      <c r="CO35" s="148"/>
      <c r="CP35" s="98" t="str">
        <f t="shared" si="16"/>
        <v/>
      </c>
      <c r="CQ35" s="7"/>
      <c r="CS35" s="6">
        <v>15</v>
      </c>
      <c r="CT35" s="36"/>
      <c r="CU35" s="36"/>
      <c r="CV35" s="34"/>
      <c r="CW35" s="32"/>
      <c r="CX35" s="148" t="str">
        <f t="shared" si="18"/>
        <v/>
      </c>
      <c r="CY35" s="148"/>
      <c r="CZ35" s="98" t="str">
        <f t="shared" si="19"/>
        <v/>
      </c>
      <c r="DA35" s="7" t="str">
        <f t="shared" si="20"/>
        <v/>
      </c>
      <c r="DC35" s="6">
        <v>15</v>
      </c>
      <c r="DD35" s="36"/>
      <c r="DE35" s="36"/>
      <c r="DF35" s="34"/>
      <c r="DG35" s="32"/>
      <c r="DH35" s="148" t="str">
        <f t="shared" si="21"/>
        <v/>
      </c>
      <c r="DI35" s="148"/>
      <c r="DJ35" s="98" t="str">
        <f t="shared" si="22"/>
        <v/>
      </c>
      <c r="DK35" s="7" t="str">
        <f t="shared" si="23"/>
        <v/>
      </c>
      <c r="DM35" s="6">
        <v>15</v>
      </c>
      <c r="DN35" s="36"/>
      <c r="DO35" s="36"/>
      <c r="DP35" s="34"/>
      <c r="DQ35" s="32"/>
      <c r="DR35" s="148" t="str">
        <f t="shared" si="24"/>
        <v/>
      </c>
      <c r="DS35" s="148"/>
      <c r="DT35" s="98" t="str">
        <f t="shared" si="25"/>
        <v/>
      </c>
      <c r="DU35" s="7" t="str">
        <f t="shared" si="26"/>
        <v/>
      </c>
    </row>
    <row r="36" spans="7:125" x14ac:dyDescent="0.2">
      <c r="G36" s="6">
        <v>16</v>
      </c>
      <c r="H36" s="117"/>
      <c r="I36" s="36" t="s">
        <v>99</v>
      </c>
      <c r="J36" s="34">
        <v>2</v>
      </c>
      <c r="K36" s="32">
        <v>23.594000000000001</v>
      </c>
      <c r="L36" s="148">
        <f>燃料消費量!$B$26</f>
        <v>0.35</v>
      </c>
      <c r="M36" s="148"/>
      <c r="N36" s="98">
        <f t="shared" si="0"/>
        <v>8.300000000000006</v>
      </c>
      <c r="O36" s="7">
        <f t="shared" si="2"/>
        <v>23.714285714285733</v>
      </c>
      <c r="Q36" s="6">
        <v>16</v>
      </c>
      <c r="R36" s="36"/>
      <c r="S36" s="36" t="s">
        <v>109</v>
      </c>
      <c r="T36" s="34">
        <v>4</v>
      </c>
      <c r="U36" s="32">
        <v>11.172000000000001</v>
      </c>
      <c r="V36" s="148">
        <f t="shared" si="30"/>
        <v>0.34295564285714286</v>
      </c>
      <c r="W36" s="148"/>
      <c r="X36" s="98">
        <f t="shared" si="1"/>
        <v>7.3489668894681959</v>
      </c>
      <c r="Y36" s="7">
        <f t="shared" si="31"/>
        <v>21.428330580142649</v>
      </c>
      <c r="AA36" s="6">
        <v>16</v>
      </c>
      <c r="AB36" s="36"/>
      <c r="AC36" s="36" t="s">
        <v>99</v>
      </c>
      <c r="AD36" s="34">
        <v>2</v>
      </c>
      <c r="AE36" s="32">
        <v>23.974</v>
      </c>
      <c r="AF36" s="148">
        <f>燃料消費量!$D$27</f>
        <v>0.35</v>
      </c>
      <c r="AG36" s="148"/>
      <c r="AH36" s="98">
        <f t="shared" si="10"/>
        <v>6.7389668894682018</v>
      </c>
      <c r="AI36" s="7">
        <f t="shared" si="3"/>
        <v>19.254191112766293</v>
      </c>
      <c r="AK36" s="6">
        <v>16</v>
      </c>
      <c r="AL36" s="36"/>
      <c r="AM36" s="36" t="s">
        <v>99</v>
      </c>
      <c r="AN36" s="34">
        <v>2</v>
      </c>
      <c r="AO36" s="32">
        <v>24.797999999999998</v>
      </c>
      <c r="AP36" s="148">
        <f>燃料消費量!$B$29</f>
        <v>0.35</v>
      </c>
      <c r="AQ36" s="148"/>
      <c r="AR36" s="98">
        <f t="shared" si="11"/>
        <v>3.6785012690302525</v>
      </c>
      <c r="AS36" s="7">
        <f t="shared" si="27"/>
        <v>10.510003625800723</v>
      </c>
      <c r="AT36" s="3"/>
      <c r="AU36" s="6">
        <v>16</v>
      </c>
      <c r="AV36" s="36"/>
      <c r="AW36" s="36" t="s">
        <v>6</v>
      </c>
      <c r="AX36" s="34">
        <v>2</v>
      </c>
      <c r="AY36" s="32">
        <v>20</v>
      </c>
      <c r="AZ36" s="148">
        <f>燃料消費量!$E$38</f>
        <v>0.35</v>
      </c>
      <c r="BA36" s="148"/>
      <c r="BB36" s="98">
        <f t="shared" si="12"/>
        <v>2.7185012690302557</v>
      </c>
      <c r="BC36" s="7">
        <f t="shared" si="4"/>
        <v>7.7671464829435886</v>
      </c>
      <c r="BE36" s="6">
        <v>16</v>
      </c>
      <c r="BF36" s="36"/>
      <c r="BG36" s="36" t="s">
        <v>99</v>
      </c>
      <c r="BH36" s="34">
        <v>2</v>
      </c>
      <c r="BI36" s="32">
        <v>24.655999999999999</v>
      </c>
      <c r="BJ36" s="148">
        <f>燃料消費量!$D$28</f>
        <v>0.35</v>
      </c>
      <c r="BK36" s="148"/>
      <c r="BL36" s="98">
        <f t="shared" si="13"/>
        <v>1.7585012690302571</v>
      </c>
      <c r="BM36" s="7">
        <f t="shared" si="5"/>
        <v>5.0242893400864492</v>
      </c>
      <c r="BO36" s="6">
        <v>16</v>
      </c>
      <c r="BP36" s="36"/>
      <c r="BQ36" s="36"/>
      <c r="BR36" s="34"/>
      <c r="BS36" s="32"/>
      <c r="BT36" s="148" t="str">
        <f t="shared" si="32"/>
        <v/>
      </c>
      <c r="BU36" s="148"/>
      <c r="BV36" s="98" t="str">
        <f t="shared" si="14"/>
        <v/>
      </c>
      <c r="BW36" s="7" t="str">
        <f t="shared" si="33"/>
        <v/>
      </c>
      <c r="BY36" s="6">
        <v>16</v>
      </c>
      <c r="BZ36" s="36"/>
      <c r="CA36" s="36"/>
      <c r="CB36" s="34"/>
      <c r="CC36" s="32"/>
      <c r="CD36" s="148" t="str">
        <f t="shared" si="28"/>
        <v/>
      </c>
      <c r="CE36" s="148"/>
      <c r="CF36" s="98" t="str">
        <f t="shared" si="15"/>
        <v/>
      </c>
      <c r="CG36" s="7" t="str">
        <f t="shared" si="29"/>
        <v/>
      </c>
      <c r="CI36" s="6">
        <v>16</v>
      </c>
      <c r="CJ36" s="36"/>
      <c r="CK36" s="36"/>
      <c r="CL36" s="34"/>
      <c r="CM36" s="32"/>
      <c r="CN36" s="148" t="str">
        <f t="shared" ref="CN36:CN60" si="34">IF(CJ36="IN",CL$12,IF(CJ36="OUT",CL$10,IF(CK36="D",CK$10,IF(CK36="W",CK$11,IF(CK36="SC",CK$12,IF(CK36="EX1",CK$13,IF(CK36="EX2",CK$14,"")))))))</f>
        <v/>
      </c>
      <c r="CO36" s="148"/>
      <c r="CP36" s="98" t="str">
        <f t="shared" si="16"/>
        <v/>
      </c>
      <c r="CQ36" s="7" t="str">
        <f t="shared" ref="CQ36:CQ60" si="35">IF(CK36="D",CP36/$CK$10,IF(CK36="W",CP36/$CK$11,IF(CK36="SC",CP36/$CK$12,IF(CK36="EX1",CP36/$CK$13,IF(CK36="EX2",CP36/$CK$14,"")))))</f>
        <v/>
      </c>
      <c r="CS36" s="6">
        <v>16</v>
      </c>
      <c r="CT36" s="36"/>
      <c r="CU36" s="36"/>
      <c r="CV36" s="34"/>
      <c r="CW36" s="32"/>
      <c r="CX36" s="148" t="str">
        <f t="shared" si="18"/>
        <v/>
      </c>
      <c r="CY36" s="148"/>
      <c r="CZ36" s="98" t="str">
        <f t="shared" si="19"/>
        <v/>
      </c>
      <c r="DA36" s="7" t="str">
        <f t="shared" si="20"/>
        <v/>
      </c>
      <c r="DC36" s="6">
        <v>16</v>
      </c>
      <c r="DD36" s="36"/>
      <c r="DE36" s="36"/>
      <c r="DF36" s="34"/>
      <c r="DG36" s="32"/>
      <c r="DH36" s="148" t="str">
        <f t="shared" si="21"/>
        <v/>
      </c>
      <c r="DI36" s="148"/>
      <c r="DJ36" s="98" t="str">
        <f t="shared" si="22"/>
        <v/>
      </c>
      <c r="DK36" s="7" t="str">
        <f t="shared" si="23"/>
        <v/>
      </c>
      <c r="DM36" s="6">
        <v>16</v>
      </c>
      <c r="DN36" s="36"/>
      <c r="DO36" s="36"/>
      <c r="DP36" s="34"/>
      <c r="DQ36" s="32"/>
      <c r="DR36" s="148" t="str">
        <f t="shared" si="24"/>
        <v/>
      </c>
      <c r="DS36" s="148"/>
      <c r="DT36" s="98" t="str">
        <f t="shared" si="25"/>
        <v/>
      </c>
      <c r="DU36" s="7" t="str">
        <f t="shared" si="26"/>
        <v/>
      </c>
    </row>
    <row r="37" spans="7:125" x14ac:dyDescent="0.2">
      <c r="G37" s="6">
        <v>17</v>
      </c>
      <c r="H37" s="36"/>
      <c r="I37" s="36" t="s">
        <v>99</v>
      </c>
      <c r="J37" s="34">
        <v>2</v>
      </c>
      <c r="K37" s="32">
        <v>23.475000000000001</v>
      </c>
      <c r="L37" s="148">
        <f>燃料消費量!$B$26</f>
        <v>0.35</v>
      </c>
      <c r="M37" s="148"/>
      <c r="N37" s="98">
        <f t="shared" si="0"/>
        <v>7.9500000000000064</v>
      </c>
      <c r="O37" s="7">
        <f t="shared" si="2"/>
        <v>22.714285714285733</v>
      </c>
      <c r="Q37" s="6">
        <v>17</v>
      </c>
      <c r="R37" s="36" t="s">
        <v>103</v>
      </c>
      <c r="S37" s="36" t="s">
        <v>109</v>
      </c>
      <c r="T37" s="34">
        <v>8</v>
      </c>
      <c r="U37" s="32">
        <v>19.623999999999999</v>
      </c>
      <c r="V37" s="148">
        <f t="shared" si="30"/>
        <v>0.33</v>
      </c>
      <c r="W37" s="148"/>
      <c r="X37" s="98">
        <f t="shared" si="1"/>
        <v>7.0189668894681958</v>
      </c>
      <c r="Y37" s="7">
        <f t="shared" si="31"/>
        <v>20.466107018953252</v>
      </c>
      <c r="AA37" s="6">
        <v>17</v>
      </c>
      <c r="AB37" s="36"/>
      <c r="AC37" s="36" t="s">
        <v>99</v>
      </c>
      <c r="AD37" s="34">
        <v>2</v>
      </c>
      <c r="AE37" s="32">
        <v>25.385999999999999</v>
      </c>
      <c r="AF37" s="148">
        <f>燃料消費量!$D$30</f>
        <v>0.35</v>
      </c>
      <c r="AG37" s="148"/>
      <c r="AH37" s="98">
        <f t="shared" si="10"/>
        <v>6.3889668894682021</v>
      </c>
      <c r="AI37" s="7">
        <f t="shared" si="3"/>
        <v>18.254191112766293</v>
      </c>
      <c r="AK37" s="6">
        <v>17</v>
      </c>
      <c r="AL37" s="36"/>
      <c r="AM37" s="36" t="s">
        <v>99</v>
      </c>
      <c r="AN37" s="34">
        <v>2</v>
      </c>
      <c r="AO37" s="32">
        <v>22.809000000000001</v>
      </c>
      <c r="AP37" s="148">
        <f>燃料消費量!$B$25</f>
        <v>0.35</v>
      </c>
      <c r="AQ37" s="148"/>
      <c r="AR37" s="98">
        <f t="shared" si="11"/>
        <v>3.3285012690302525</v>
      </c>
      <c r="AS37" s="7">
        <f t="shared" si="27"/>
        <v>9.5100036258007226</v>
      </c>
      <c r="AT37" s="3"/>
      <c r="AU37" s="6">
        <v>17</v>
      </c>
      <c r="AV37" s="36"/>
      <c r="AW37" s="36" t="s">
        <v>6</v>
      </c>
      <c r="AX37" s="34">
        <v>2</v>
      </c>
      <c r="AY37" s="32">
        <v>20</v>
      </c>
      <c r="AZ37" s="148">
        <f>燃料消費量!$E$41</f>
        <v>0.35</v>
      </c>
      <c r="BA37" s="148"/>
      <c r="BB37" s="98">
        <f t="shared" si="12"/>
        <v>2.3685012690302556</v>
      </c>
      <c r="BC37" s="7">
        <f t="shared" si="4"/>
        <v>6.7671464829435877</v>
      </c>
      <c r="BE37" s="6">
        <v>17</v>
      </c>
      <c r="BF37" s="36"/>
      <c r="BG37" s="36" t="s">
        <v>99</v>
      </c>
      <c r="BH37" s="34">
        <v>2</v>
      </c>
      <c r="BI37" s="32">
        <v>24.332999999999998</v>
      </c>
      <c r="BJ37" s="148">
        <f>燃料消費量!$D$28</f>
        <v>0.35</v>
      </c>
      <c r="BK37" s="148"/>
      <c r="BL37" s="98">
        <f t="shared" si="13"/>
        <v>1.408501269030257</v>
      </c>
      <c r="BM37" s="7">
        <f t="shared" si="5"/>
        <v>4.0242893400864483</v>
      </c>
      <c r="BO37" s="6">
        <v>17</v>
      </c>
      <c r="BP37" s="36"/>
      <c r="BQ37" s="36"/>
      <c r="BR37" s="34"/>
      <c r="BS37" s="32"/>
      <c r="BT37" s="148" t="str">
        <f t="shared" si="32"/>
        <v/>
      </c>
      <c r="BU37" s="148"/>
      <c r="BV37" s="98" t="str">
        <f t="shared" si="14"/>
        <v/>
      </c>
      <c r="BW37" s="7" t="str">
        <f t="shared" si="33"/>
        <v/>
      </c>
      <c r="BY37" s="6">
        <v>17</v>
      </c>
      <c r="BZ37" s="36"/>
      <c r="CA37" s="36"/>
      <c r="CB37" s="34"/>
      <c r="CC37" s="32"/>
      <c r="CD37" s="148" t="str">
        <f t="shared" si="28"/>
        <v/>
      </c>
      <c r="CE37" s="148"/>
      <c r="CF37" s="98" t="str">
        <f t="shared" si="15"/>
        <v/>
      </c>
      <c r="CG37" s="7" t="str">
        <f t="shared" si="29"/>
        <v/>
      </c>
      <c r="CI37" s="6">
        <v>17</v>
      </c>
      <c r="CJ37" s="36"/>
      <c r="CK37" s="36"/>
      <c r="CL37" s="34"/>
      <c r="CM37" s="32"/>
      <c r="CN37" s="148" t="str">
        <f t="shared" si="34"/>
        <v/>
      </c>
      <c r="CO37" s="148"/>
      <c r="CP37" s="98" t="str">
        <f t="shared" si="16"/>
        <v/>
      </c>
      <c r="CQ37" s="7" t="str">
        <f t="shared" si="35"/>
        <v/>
      </c>
      <c r="CS37" s="6">
        <v>17</v>
      </c>
      <c r="CT37" s="36"/>
      <c r="CU37" s="36"/>
      <c r="CV37" s="34"/>
      <c r="CW37" s="32"/>
      <c r="CX37" s="148" t="str">
        <f t="shared" si="18"/>
        <v/>
      </c>
      <c r="CY37" s="148"/>
      <c r="CZ37" s="98" t="str">
        <f t="shared" si="19"/>
        <v/>
      </c>
      <c r="DA37" s="7" t="str">
        <f t="shared" si="20"/>
        <v/>
      </c>
      <c r="DC37" s="6">
        <v>17</v>
      </c>
      <c r="DD37" s="36"/>
      <c r="DE37" s="36"/>
      <c r="DF37" s="34"/>
      <c r="DG37" s="32"/>
      <c r="DH37" s="148" t="str">
        <f t="shared" si="21"/>
        <v/>
      </c>
      <c r="DI37" s="148"/>
      <c r="DJ37" s="98" t="str">
        <f t="shared" si="22"/>
        <v/>
      </c>
      <c r="DK37" s="7" t="str">
        <f t="shared" si="23"/>
        <v/>
      </c>
      <c r="DM37" s="6">
        <v>17</v>
      </c>
      <c r="DN37" s="36"/>
      <c r="DO37" s="36"/>
      <c r="DP37" s="34"/>
      <c r="DQ37" s="32"/>
      <c r="DR37" s="148" t="str">
        <f t="shared" si="24"/>
        <v/>
      </c>
      <c r="DS37" s="148"/>
      <c r="DT37" s="98" t="str">
        <f t="shared" si="25"/>
        <v/>
      </c>
      <c r="DU37" s="7" t="str">
        <f t="shared" si="26"/>
        <v/>
      </c>
    </row>
    <row r="38" spans="7:125" x14ac:dyDescent="0.2">
      <c r="G38" s="6">
        <v>18</v>
      </c>
      <c r="H38" s="36" t="s">
        <v>103</v>
      </c>
      <c r="I38" s="36" t="s">
        <v>99</v>
      </c>
      <c r="J38" s="34">
        <v>6</v>
      </c>
      <c r="K38" s="32">
        <v>1.69</v>
      </c>
      <c r="L38" s="148">
        <f>燃料消費量!$L$4</f>
        <v>0.33</v>
      </c>
      <c r="M38" s="148"/>
      <c r="N38" s="98">
        <f>IF(L38="","",N37-L38)</f>
        <v>7.6200000000000063</v>
      </c>
      <c r="O38" s="7">
        <f t="shared" si="2"/>
        <v>23.090909090909108</v>
      </c>
      <c r="Q38" s="6">
        <v>18</v>
      </c>
      <c r="R38" s="117"/>
      <c r="S38" s="36"/>
      <c r="T38" s="34"/>
      <c r="U38" s="32"/>
      <c r="V38" s="148" t="str">
        <f t="shared" si="30"/>
        <v/>
      </c>
      <c r="W38" s="148"/>
      <c r="X38" s="98" t="str">
        <f t="shared" si="1"/>
        <v/>
      </c>
      <c r="Y38" s="7" t="str">
        <f t="shared" si="31"/>
        <v/>
      </c>
      <c r="AA38" s="6">
        <v>18</v>
      </c>
      <c r="AB38" s="36"/>
      <c r="AC38" s="36" t="s">
        <v>99</v>
      </c>
      <c r="AD38" s="34">
        <v>2</v>
      </c>
      <c r="AE38" s="32">
        <v>24.033000000000001</v>
      </c>
      <c r="AF38" s="148">
        <f>燃料消費量!$D$27</f>
        <v>0.35</v>
      </c>
      <c r="AG38" s="148"/>
      <c r="AH38" s="98">
        <f t="shared" si="10"/>
        <v>6.0389668894682025</v>
      </c>
      <c r="AI38" s="7">
        <f t="shared" si="3"/>
        <v>17.254191112766293</v>
      </c>
      <c r="AK38" s="6">
        <v>18</v>
      </c>
      <c r="AL38" s="36" t="s">
        <v>103</v>
      </c>
      <c r="AM38" s="36" t="s">
        <v>99</v>
      </c>
      <c r="AN38" s="34">
        <v>6</v>
      </c>
      <c r="AO38" s="32">
        <v>27.184000000000001</v>
      </c>
      <c r="AP38" s="148">
        <f>燃料消費量!$L$4</f>
        <v>0.33</v>
      </c>
      <c r="AQ38" s="148"/>
      <c r="AR38" s="98">
        <f t="shared" si="11"/>
        <v>2.9985012690302524</v>
      </c>
      <c r="AS38" s="7">
        <f t="shared" si="27"/>
        <v>9.0863674819098552</v>
      </c>
      <c r="AT38" s="3"/>
      <c r="AU38" s="6">
        <v>18</v>
      </c>
      <c r="AV38" s="36"/>
      <c r="AW38" s="36" t="s">
        <v>6</v>
      </c>
      <c r="AX38" s="34">
        <v>2</v>
      </c>
      <c r="AY38" s="32">
        <v>20</v>
      </c>
      <c r="AZ38" s="148">
        <f>燃料消費量!$L$4</f>
        <v>0.33</v>
      </c>
      <c r="BA38" s="148"/>
      <c r="BB38" s="98">
        <f t="shared" si="12"/>
        <v>2.0385012690302555</v>
      </c>
      <c r="BC38" s="7">
        <f t="shared" si="4"/>
        <v>6.1772765728189558</v>
      </c>
      <c r="BE38" s="6">
        <v>18</v>
      </c>
      <c r="BF38" s="36"/>
      <c r="BG38" s="36" t="s">
        <v>99</v>
      </c>
      <c r="BH38" s="34">
        <v>2</v>
      </c>
      <c r="BI38" s="32">
        <v>24.965</v>
      </c>
      <c r="BJ38" s="148">
        <f>燃料消費量!$D$29</f>
        <v>0.35</v>
      </c>
      <c r="BK38" s="148"/>
      <c r="BL38" s="98">
        <f t="shared" si="13"/>
        <v>1.0585012690302569</v>
      </c>
      <c r="BM38" s="7">
        <f t="shared" si="5"/>
        <v>3.0242893400864483</v>
      </c>
      <c r="BO38" s="6">
        <v>18</v>
      </c>
      <c r="BP38" s="36"/>
      <c r="BQ38" s="36"/>
      <c r="BR38" s="34"/>
      <c r="BS38" s="32"/>
      <c r="BT38" s="148" t="str">
        <f t="shared" si="32"/>
        <v/>
      </c>
      <c r="BU38" s="148"/>
      <c r="BV38" s="98" t="str">
        <f t="shared" si="14"/>
        <v/>
      </c>
      <c r="BW38" s="7" t="str">
        <f t="shared" si="33"/>
        <v/>
      </c>
      <c r="BY38" s="6">
        <v>18</v>
      </c>
      <c r="BZ38" s="36"/>
      <c r="CA38" s="36"/>
      <c r="CB38" s="34"/>
      <c r="CC38" s="32"/>
      <c r="CD38" s="148" t="str">
        <f t="shared" si="28"/>
        <v/>
      </c>
      <c r="CE38" s="148"/>
      <c r="CF38" s="98" t="str">
        <f t="shared" si="15"/>
        <v/>
      </c>
      <c r="CG38" s="7" t="str">
        <f t="shared" si="29"/>
        <v/>
      </c>
      <c r="CI38" s="6">
        <v>18</v>
      </c>
      <c r="CJ38" s="36"/>
      <c r="CK38" s="36"/>
      <c r="CL38" s="34"/>
      <c r="CM38" s="32"/>
      <c r="CN38" s="148" t="str">
        <f t="shared" si="34"/>
        <v/>
      </c>
      <c r="CO38" s="148"/>
      <c r="CP38" s="98" t="str">
        <f t="shared" si="16"/>
        <v/>
      </c>
      <c r="CQ38" s="7" t="str">
        <f t="shared" si="35"/>
        <v/>
      </c>
      <c r="CS38" s="6">
        <v>18</v>
      </c>
      <c r="CT38" s="36"/>
      <c r="CU38" s="36"/>
      <c r="CV38" s="34"/>
      <c r="CW38" s="32"/>
      <c r="CX38" s="148" t="str">
        <f t="shared" si="18"/>
        <v/>
      </c>
      <c r="CY38" s="148"/>
      <c r="CZ38" s="98" t="str">
        <f t="shared" si="19"/>
        <v/>
      </c>
      <c r="DA38" s="7" t="str">
        <f t="shared" si="20"/>
        <v/>
      </c>
      <c r="DC38" s="6">
        <v>18</v>
      </c>
      <c r="DD38" s="36"/>
      <c r="DE38" s="36"/>
      <c r="DF38" s="34"/>
      <c r="DG38" s="32"/>
      <c r="DH38" s="148" t="str">
        <f t="shared" si="21"/>
        <v/>
      </c>
      <c r="DI38" s="148"/>
      <c r="DJ38" s="98" t="str">
        <f t="shared" si="22"/>
        <v/>
      </c>
      <c r="DK38" s="7" t="str">
        <f t="shared" si="23"/>
        <v/>
      </c>
      <c r="DM38" s="6">
        <v>18</v>
      </c>
      <c r="DN38" s="36"/>
      <c r="DO38" s="36"/>
      <c r="DP38" s="34"/>
      <c r="DQ38" s="32"/>
      <c r="DR38" s="148" t="str">
        <f t="shared" si="24"/>
        <v/>
      </c>
      <c r="DS38" s="148"/>
      <c r="DT38" s="98" t="str">
        <f t="shared" si="25"/>
        <v/>
      </c>
      <c r="DU38" s="7" t="str">
        <f t="shared" si="26"/>
        <v/>
      </c>
    </row>
    <row r="39" spans="7:125" x14ac:dyDescent="0.2">
      <c r="G39" s="6">
        <v>19</v>
      </c>
      <c r="H39" s="36"/>
      <c r="I39" s="36"/>
      <c r="J39" s="34"/>
      <c r="K39" s="32"/>
      <c r="L39" s="148" t="str">
        <f>IF(H39="IN",J$12,IF(H39="OUT",J$10,IF(I39="D",I$10,IF(I39="W",I$11,IF(I39="SC",I$12,IF(I39="EX1",I$13,IF(I39="EX2",I$14,"")))))))</f>
        <v/>
      </c>
      <c r="M39" s="148"/>
      <c r="N39" s="98" t="str">
        <f t="shared" si="0"/>
        <v/>
      </c>
      <c r="O39" s="7" t="str">
        <f>IF(I39="D",N39/$I$10,IF(I39="W",N39/$I$11,IF(I39="SC",N39/$I$12,IF(I39="EX1",N39/$I$13,IF(I39="EX2",N39/$I$14,"")))))</f>
        <v/>
      </c>
      <c r="Q39" s="6">
        <v>19</v>
      </c>
      <c r="R39" s="36"/>
      <c r="S39" s="36"/>
      <c r="T39" s="34"/>
      <c r="U39" s="32"/>
      <c r="V39" s="148" t="str">
        <f t="shared" si="30"/>
        <v/>
      </c>
      <c r="W39" s="148"/>
      <c r="X39" s="98" t="str">
        <f t="shared" si="1"/>
        <v/>
      </c>
      <c r="Y39" s="7" t="str">
        <f t="shared" si="31"/>
        <v/>
      </c>
      <c r="AA39" s="6">
        <v>19</v>
      </c>
      <c r="AB39" s="117"/>
      <c r="AC39" s="36" t="s">
        <v>99</v>
      </c>
      <c r="AD39" s="34">
        <v>2</v>
      </c>
      <c r="AE39" s="32">
        <v>23.074000000000002</v>
      </c>
      <c r="AF39" s="148">
        <f>燃料消費量!$D$25</f>
        <v>0.35</v>
      </c>
      <c r="AG39" s="148"/>
      <c r="AH39" s="98">
        <f t="shared" si="10"/>
        <v>5.6889668894682028</v>
      </c>
      <c r="AI39" s="7">
        <f t="shared" si="3"/>
        <v>16.254191112766296</v>
      </c>
      <c r="AK39" s="6">
        <v>19</v>
      </c>
      <c r="AL39" s="36"/>
      <c r="AM39" s="36"/>
      <c r="AN39" s="34"/>
      <c r="AO39" s="32"/>
      <c r="AP39" s="148" t="str">
        <f>IF(AL39="IN",AN$12,IF(AL39="OUT",AN$10,IF(AM39="D",AM$10,IF(AM39="W",AM$11,IF(AM39="SC",AM$12,IF(AM39="EX1",AM$13,IF(AM39="EX2",AM$14,"")))))))</f>
        <v/>
      </c>
      <c r="AQ39" s="148"/>
      <c r="AR39" s="98" t="str">
        <f t="shared" si="11"/>
        <v/>
      </c>
      <c r="AS39" s="7" t="str">
        <f>IF(AM39="D",AR39/$AM$10,IF(AM39="W",AR39/$AM$11,IF(AM39="SC",AR39/$AM$12,IF(AM39="EX1",AR39/$AM$13,IF(AM39="EX2",AR39/$AM$14,"")))))</f>
        <v/>
      </c>
      <c r="AT39" s="3"/>
      <c r="AU39" s="6">
        <v>19</v>
      </c>
      <c r="AV39" s="36" t="s">
        <v>103</v>
      </c>
      <c r="AW39" s="36" t="s">
        <v>6</v>
      </c>
      <c r="AX39" s="34">
        <v>6</v>
      </c>
      <c r="AY39" s="32">
        <v>20</v>
      </c>
      <c r="AZ39" s="148" t="e">
        <f>IF(#REF!="IN",AX$12,IF(#REF!="OUT",AX$10,IF(#REF!="D",AW$10,IF(#REF!="W",AW$11,IF(#REF!="SC",AW$12,IF(#REF!="EX1",AW$13,IF(#REF!="EX2",AW$14,"")))))))</f>
        <v>#REF!</v>
      </c>
      <c r="BA39" s="148"/>
      <c r="BB39" s="98" t="e">
        <f t="shared" si="12"/>
        <v>#REF!</v>
      </c>
      <c r="BC39" s="7" t="e">
        <f>IF(#REF!="D",BB39/$AW$10,IF(#REF!="W",BB39/$AW$11,IF(#REF!="SC",BB39/$AW$12,IF(#REF!="EX1",BB39/$AW$13,IF(#REF!="EX2",BB39/$AW$14,"")))))</f>
        <v>#REF!</v>
      </c>
      <c r="BE39" s="6">
        <v>19</v>
      </c>
      <c r="BF39" s="36"/>
      <c r="BG39" s="36" t="s">
        <v>99</v>
      </c>
      <c r="BH39" s="34">
        <v>2</v>
      </c>
      <c r="BI39" s="32">
        <v>23.271999999999998</v>
      </c>
      <c r="BJ39" s="148">
        <f>燃料消費量!$D$26</f>
        <v>0.35</v>
      </c>
      <c r="BK39" s="148"/>
      <c r="BL39" s="98">
        <f t="shared" si="13"/>
        <v>0.7085012690302569</v>
      </c>
      <c r="BM39" s="7">
        <f t="shared" si="5"/>
        <v>2.0242893400864483</v>
      </c>
      <c r="BO39" s="6">
        <v>19</v>
      </c>
      <c r="BP39" s="36"/>
      <c r="BQ39" s="36"/>
      <c r="BR39" s="34"/>
      <c r="BS39" s="32"/>
      <c r="BT39" s="148" t="str">
        <f t="shared" si="32"/>
        <v/>
      </c>
      <c r="BU39" s="148"/>
      <c r="BV39" s="98" t="str">
        <f t="shared" si="14"/>
        <v/>
      </c>
      <c r="BW39" s="7" t="str">
        <f t="shared" si="33"/>
        <v/>
      </c>
      <c r="BY39" s="6">
        <v>19</v>
      </c>
      <c r="BZ39" s="36"/>
      <c r="CA39" s="36"/>
      <c r="CB39" s="34"/>
      <c r="CC39" s="32"/>
      <c r="CD39" s="148" t="str">
        <f t="shared" si="28"/>
        <v/>
      </c>
      <c r="CE39" s="148"/>
      <c r="CF39" s="98" t="str">
        <f t="shared" si="15"/>
        <v/>
      </c>
      <c r="CG39" s="7" t="str">
        <f t="shared" si="29"/>
        <v/>
      </c>
      <c r="CI39" s="6">
        <v>19</v>
      </c>
      <c r="CJ39" s="36"/>
      <c r="CK39" s="36"/>
      <c r="CL39" s="34"/>
      <c r="CM39" s="32"/>
      <c r="CN39" s="148" t="str">
        <f t="shared" si="34"/>
        <v/>
      </c>
      <c r="CO39" s="148"/>
      <c r="CP39" s="98" t="str">
        <f t="shared" si="16"/>
        <v/>
      </c>
      <c r="CQ39" s="7" t="str">
        <f t="shared" si="35"/>
        <v/>
      </c>
      <c r="CS39" s="6">
        <v>19</v>
      </c>
      <c r="CT39" s="36"/>
      <c r="CU39" s="36"/>
      <c r="CV39" s="34"/>
      <c r="CW39" s="32"/>
      <c r="CX39" s="148" t="str">
        <f t="shared" si="18"/>
        <v/>
      </c>
      <c r="CY39" s="148"/>
      <c r="CZ39" s="98" t="str">
        <f t="shared" si="19"/>
        <v/>
      </c>
      <c r="DA39" s="7" t="str">
        <f t="shared" si="20"/>
        <v/>
      </c>
      <c r="DC39" s="6">
        <v>19</v>
      </c>
      <c r="DD39" s="36"/>
      <c r="DE39" s="36"/>
      <c r="DF39" s="34"/>
      <c r="DG39" s="32"/>
      <c r="DH39" s="148" t="str">
        <f t="shared" si="21"/>
        <v/>
      </c>
      <c r="DI39" s="148"/>
      <c r="DJ39" s="98" t="str">
        <f t="shared" si="22"/>
        <v/>
      </c>
      <c r="DK39" s="7" t="str">
        <f t="shared" si="23"/>
        <v/>
      </c>
      <c r="DM39" s="6">
        <v>19</v>
      </c>
      <c r="DN39" s="36"/>
      <c r="DO39" s="36"/>
      <c r="DP39" s="34"/>
      <c r="DQ39" s="32"/>
      <c r="DR39" s="148" t="str">
        <f t="shared" si="24"/>
        <v/>
      </c>
      <c r="DS39" s="148"/>
      <c r="DT39" s="98" t="str">
        <f t="shared" si="25"/>
        <v/>
      </c>
      <c r="DU39" s="7" t="str">
        <f t="shared" si="26"/>
        <v/>
      </c>
    </row>
    <row r="40" spans="7:125" x14ac:dyDescent="0.2">
      <c r="G40" s="6">
        <v>20</v>
      </c>
      <c r="H40" s="36"/>
      <c r="I40" s="36"/>
      <c r="J40" s="34"/>
      <c r="K40" s="32"/>
      <c r="L40" s="148"/>
      <c r="M40" s="148"/>
      <c r="N40" s="98" t="str">
        <f t="shared" si="0"/>
        <v/>
      </c>
      <c r="O40" s="7"/>
      <c r="Q40" s="6">
        <v>20</v>
      </c>
      <c r="R40" s="36"/>
      <c r="S40" s="36"/>
      <c r="T40" s="34"/>
      <c r="U40" s="32"/>
      <c r="V40" s="148" t="str">
        <f t="shared" si="30"/>
        <v/>
      </c>
      <c r="W40" s="148"/>
      <c r="X40" s="98" t="str">
        <f t="shared" si="1"/>
        <v/>
      </c>
      <c r="Y40" s="7" t="str">
        <f t="shared" si="31"/>
        <v/>
      </c>
      <c r="AA40" s="6">
        <v>20</v>
      </c>
      <c r="AB40" s="36"/>
      <c r="AC40" s="36" t="s">
        <v>99</v>
      </c>
      <c r="AD40" s="34">
        <v>2</v>
      </c>
      <c r="AE40" s="32">
        <v>23.716000000000001</v>
      </c>
      <c r="AF40" s="148">
        <f>燃料消費量!$D$26</f>
        <v>0.35</v>
      </c>
      <c r="AG40" s="148"/>
      <c r="AH40" s="98">
        <f t="shared" si="10"/>
        <v>5.3389668894682032</v>
      </c>
      <c r="AI40" s="7">
        <f t="shared" si="3"/>
        <v>15.254191112766296</v>
      </c>
      <c r="AK40" s="6">
        <v>20</v>
      </c>
      <c r="AL40" s="36"/>
      <c r="AM40" s="36"/>
      <c r="AN40" s="34"/>
      <c r="AO40" s="32"/>
      <c r="AP40" s="148" t="str">
        <f>IF(AL40="IN",AN$12,IF(AL40="OUT",AN$10,IF(AM40="D",AM$10,IF(AM40="W",AM$11,IF(AM40="SC",AM$12,IF(AM40="EX1",AM$13,IF(AM40="EX2",AM$14,"")))))))</f>
        <v/>
      </c>
      <c r="AQ40" s="148"/>
      <c r="AR40" s="98" t="str">
        <f t="shared" si="11"/>
        <v/>
      </c>
      <c r="AS40" s="7" t="str">
        <f>IF(AM40="D",AR40/$AM$10,IF(AM40="W",AR40/$AM$11,IF(AM40="SC",AR40/$AM$12,IF(AM40="EX1",AR40/$AM$13,IF(AM40="EX2",AR40/$AM$14,"")))))</f>
        <v/>
      </c>
      <c r="AT40" s="3"/>
      <c r="AU40" s="6">
        <v>20</v>
      </c>
      <c r="AV40" s="36"/>
      <c r="AW40" s="36"/>
      <c r="AX40" s="34"/>
      <c r="AY40" s="32"/>
      <c r="AZ40" s="148"/>
      <c r="BA40" s="148"/>
      <c r="BB40" s="98" t="str">
        <f t="shared" si="12"/>
        <v/>
      </c>
      <c r="BC40" s="7"/>
      <c r="BE40" s="6">
        <v>20</v>
      </c>
      <c r="BF40" s="36" t="s">
        <v>103</v>
      </c>
      <c r="BG40" s="36" t="s">
        <v>99</v>
      </c>
      <c r="BH40" s="34">
        <v>6</v>
      </c>
      <c r="BI40" s="32">
        <v>29.39</v>
      </c>
      <c r="BJ40" s="148">
        <f>燃料消費量!$L$4</f>
        <v>0.33</v>
      </c>
      <c r="BK40" s="148"/>
      <c r="BL40" s="98">
        <f t="shared" si="13"/>
        <v>0.37850126903025688</v>
      </c>
      <c r="BM40" s="7">
        <f t="shared" si="5"/>
        <v>1.14697354251593</v>
      </c>
      <c r="BO40" s="6">
        <v>20</v>
      </c>
      <c r="BP40" s="36"/>
      <c r="BQ40" s="36"/>
      <c r="BR40" s="34"/>
      <c r="BS40" s="32"/>
      <c r="BT40" s="148" t="str">
        <f t="shared" si="32"/>
        <v/>
      </c>
      <c r="BU40" s="148"/>
      <c r="BV40" s="98" t="str">
        <f t="shared" si="14"/>
        <v/>
      </c>
      <c r="BW40" s="7" t="str">
        <f t="shared" si="33"/>
        <v/>
      </c>
      <c r="BY40" s="6">
        <v>20</v>
      </c>
      <c r="BZ40" s="36"/>
      <c r="CA40" s="36"/>
      <c r="CB40" s="34"/>
      <c r="CC40" s="32"/>
      <c r="CD40" s="148" t="str">
        <f t="shared" si="28"/>
        <v/>
      </c>
      <c r="CE40" s="148"/>
      <c r="CF40" s="98" t="str">
        <f t="shared" si="15"/>
        <v/>
      </c>
      <c r="CG40" s="7" t="str">
        <f t="shared" si="29"/>
        <v/>
      </c>
      <c r="CI40" s="6">
        <v>20</v>
      </c>
      <c r="CJ40" s="36"/>
      <c r="CK40" s="36"/>
      <c r="CL40" s="34"/>
      <c r="CM40" s="32"/>
      <c r="CN40" s="148"/>
      <c r="CO40" s="148"/>
      <c r="CP40" s="98" t="str">
        <f t="shared" si="16"/>
        <v/>
      </c>
      <c r="CQ40" s="7"/>
      <c r="CS40" s="6">
        <v>20</v>
      </c>
      <c r="CT40" s="36"/>
      <c r="CU40" s="36"/>
      <c r="CV40" s="34"/>
      <c r="CW40" s="32"/>
      <c r="CX40" s="148" t="str">
        <f t="shared" si="18"/>
        <v/>
      </c>
      <c r="CY40" s="148"/>
      <c r="CZ40" s="98" t="str">
        <f t="shared" si="19"/>
        <v/>
      </c>
      <c r="DA40" s="7" t="str">
        <f t="shared" si="20"/>
        <v/>
      </c>
      <c r="DC40" s="6">
        <v>20</v>
      </c>
      <c r="DD40" s="36"/>
      <c r="DE40" s="36"/>
      <c r="DF40" s="34"/>
      <c r="DG40" s="32"/>
      <c r="DH40" s="148" t="str">
        <f t="shared" si="21"/>
        <v/>
      </c>
      <c r="DI40" s="148"/>
      <c r="DJ40" s="98" t="str">
        <f t="shared" si="22"/>
        <v/>
      </c>
      <c r="DK40" s="7" t="str">
        <f t="shared" si="23"/>
        <v/>
      </c>
      <c r="DM40" s="6">
        <v>20</v>
      </c>
      <c r="DN40" s="36"/>
      <c r="DO40" s="36"/>
      <c r="DP40" s="34"/>
      <c r="DQ40" s="32"/>
      <c r="DR40" s="148" t="str">
        <f t="shared" si="24"/>
        <v/>
      </c>
      <c r="DS40" s="148"/>
      <c r="DT40" s="98" t="str">
        <f t="shared" si="25"/>
        <v/>
      </c>
      <c r="DU40" s="7" t="str">
        <f t="shared" si="26"/>
        <v/>
      </c>
    </row>
    <row r="41" spans="7:125" x14ac:dyDescent="0.2">
      <c r="G41" s="6">
        <v>21</v>
      </c>
      <c r="H41" s="36"/>
      <c r="I41" s="36"/>
      <c r="J41" s="34"/>
      <c r="K41" s="32"/>
      <c r="L41" s="148" t="str">
        <f>IF(H41="IN",J$12,IF(H41="OUT",J$10,IF(I41="D",I$10,IF(I41="W",I$11,IF(I41="SC",I$12,IF(I41="EX1",I$13,IF(I41="EX2",I$14,"")))))))</f>
        <v/>
      </c>
      <c r="M41" s="148"/>
      <c r="N41" s="98" t="str">
        <f t="shared" si="0"/>
        <v/>
      </c>
      <c r="O41" s="7" t="str">
        <f>IF(I41="D",N41/$I$10,IF(I41="W",N41/$I$11,IF(I41="SC",N41/$I$12,IF(I41="EX1",N41/$I$13,IF(I41="EX2",N41/$I$14,"")))))</f>
        <v/>
      </c>
      <c r="Q41" s="6">
        <v>21</v>
      </c>
      <c r="R41" s="36"/>
      <c r="S41" s="36"/>
      <c r="T41" s="34"/>
      <c r="U41" s="32"/>
      <c r="V41" s="148" t="str">
        <f t="shared" si="30"/>
        <v/>
      </c>
      <c r="W41" s="148"/>
      <c r="X41" s="98" t="str">
        <f t="shared" si="1"/>
        <v/>
      </c>
      <c r="Y41" s="7" t="str">
        <f t="shared" si="31"/>
        <v/>
      </c>
      <c r="AA41" s="6">
        <v>21</v>
      </c>
      <c r="AB41" s="36"/>
      <c r="AC41" s="36" t="s">
        <v>99</v>
      </c>
      <c r="AD41" s="34">
        <v>2</v>
      </c>
      <c r="AE41" s="32">
        <v>24.335000000000001</v>
      </c>
      <c r="AF41" s="148">
        <f>燃料消費量!$D$28</f>
        <v>0.35</v>
      </c>
      <c r="AG41" s="148"/>
      <c r="AH41" s="98">
        <f t="shared" si="10"/>
        <v>4.9889668894682035</v>
      </c>
      <c r="AI41" s="7">
        <f t="shared" si="3"/>
        <v>14.254191112766296</v>
      </c>
      <c r="AK41" s="6">
        <v>21</v>
      </c>
      <c r="AL41" s="36"/>
      <c r="AM41" s="36"/>
      <c r="AN41" s="34"/>
      <c r="AO41" s="32"/>
      <c r="AP41" s="148" t="str">
        <f>IF(AL41="IN",AN$12,IF(AL41="OUT",AN$10,IF(AM41="D",AM$10,IF(AM41="W",AM$11,IF(AM41="SC",AM$12,IF(AM41="EX1",AM$13,IF(AM41="EX2",AM$14,"")))))))</f>
        <v/>
      </c>
      <c r="AQ41" s="148"/>
      <c r="AR41" s="98" t="str">
        <f t="shared" si="11"/>
        <v/>
      </c>
      <c r="AS41" s="7" t="str">
        <f>IF(AM41="D",AR41/$AM$10,IF(AM41="W",AR41/$AM$11,IF(AM41="SC",AR41/$AM$12,IF(AM41="EX1",AR41/$AM$13,IF(AM41="EX2",AR41/$AM$14,"")))))</f>
        <v/>
      </c>
      <c r="AT41" s="3"/>
      <c r="AU41" s="6">
        <v>21</v>
      </c>
      <c r="AV41" s="36"/>
      <c r="AW41" s="36"/>
      <c r="AX41" s="34"/>
      <c r="AY41" s="32"/>
      <c r="AZ41" s="148" t="str">
        <f t="shared" ref="AZ39:AZ41" si="36">IF(AV41="IN",AX$12,IF(AV41="OUT",AX$10,IF(AW41="D",AW$10,IF(AW41="W",AW$11,IF(AW41="SC",AW$12,IF(AW41="EX1",AW$13,IF(AW41="EX2",AW$14,"")))))))</f>
        <v/>
      </c>
      <c r="BA41" s="148"/>
      <c r="BB41" s="98" t="str">
        <f t="shared" si="12"/>
        <v/>
      </c>
      <c r="BC41" s="7" t="str">
        <f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48" t="str">
        <f t="shared" ref="BJ41:BJ46" si="37">IF(BF41="IN",BH$12,IF(BF41="OUT",BH$10,IF(BG41="D",BG$10,IF(BG41="W",BG$11,IF(BG41="SC",BG$12,IF(BG41="EX1",BG$13,IF(BG41="EX2",BG$14,"")))))))</f>
        <v/>
      </c>
      <c r="BK41" s="148"/>
      <c r="BL41" s="98" t="str">
        <f t="shared" si="13"/>
        <v/>
      </c>
      <c r="BM41" s="7" t="str">
        <f t="shared" ref="BM41:BM47" si="38">IF(BG41="D",BL41/$BG$10,IF(BG41="W",BL41/$BG$11,IF(BG41="SC",BL41/$BG$12,IF(BG41="EX1",BL41/$BG$13,IF(BG41="EX2",BL41/$BG$14,"")))))</f>
        <v/>
      </c>
      <c r="BO41" s="6">
        <v>21</v>
      </c>
      <c r="BP41" s="36"/>
      <c r="BQ41" s="36"/>
      <c r="BR41" s="34"/>
      <c r="BS41" s="32"/>
      <c r="BT41" s="148" t="str">
        <f t="shared" si="32"/>
        <v/>
      </c>
      <c r="BU41" s="148"/>
      <c r="BV41" s="98" t="str">
        <f t="shared" si="14"/>
        <v/>
      </c>
      <c r="BW41" s="7" t="str">
        <f t="shared" si="33"/>
        <v/>
      </c>
      <c r="BY41" s="6">
        <v>21</v>
      </c>
      <c r="BZ41" s="36"/>
      <c r="CA41" s="36"/>
      <c r="CB41" s="34"/>
      <c r="CC41" s="32"/>
      <c r="CD41" s="148" t="str">
        <f t="shared" si="28"/>
        <v/>
      </c>
      <c r="CE41" s="148"/>
      <c r="CF41" s="98" t="str">
        <f t="shared" si="15"/>
        <v/>
      </c>
      <c r="CG41" s="7" t="str">
        <f t="shared" si="29"/>
        <v/>
      </c>
      <c r="CI41" s="6">
        <v>21</v>
      </c>
      <c r="CJ41" s="36"/>
      <c r="CK41" s="36"/>
      <c r="CL41" s="34"/>
      <c r="CM41" s="32"/>
      <c r="CN41" s="148" t="str">
        <f t="shared" si="34"/>
        <v/>
      </c>
      <c r="CO41" s="148"/>
      <c r="CP41" s="98" t="str">
        <f t="shared" si="16"/>
        <v/>
      </c>
      <c r="CQ41" s="7" t="str">
        <f t="shared" si="35"/>
        <v/>
      </c>
      <c r="CS41" s="6">
        <v>21</v>
      </c>
      <c r="CT41" s="36"/>
      <c r="CU41" s="36"/>
      <c r="CV41" s="34"/>
      <c r="CW41" s="32"/>
      <c r="CX41" s="148" t="str">
        <f t="shared" si="18"/>
        <v/>
      </c>
      <c r="CY41" s="148"/>
      <c r="CZ41" s="98" t="str">
        <f t="shared" si="19"/>
        <v/>
      </c>
      <c r="DA41" s="7" t="str">
        <f t="shared" si="20"/>
        <v/>
      </c>
      <c r="DC41" s="6">
        <v>21</v>
      </c>
      <c r="DD41" s="36"/>
      <c r="DE41" s="36"/>
      <c r="DF41" s="34"/>
      <c r="DG41" s="32"/>
      <c r="DH41" s="148" t="str">
        <f t="shared" si="21"/>
        <v/>
      </c>
      <c r="DI41" s="148"/>
      <c r="DJ41" s="98" t="str">
        <f t="shared" si="22"/>
        <v/>
      </c>
      <c r="DK41" s="7" t="str">
        <f t="shared" si="23"/>
        <v/>
      </c>
      <c r="DM41" s="6">
        <v>21</v>
      </c>
      <c r="DN41" s="36"/>
      <c r="DO41" s="36"/>
      <c r="DP41" s="34"/>
      <c r="DQ41" s="32"/>
      <c r="DR41" s="148" t="str">
        <f t="shared" si="24"/>
        <v/>
      </c>
      <c r="DS41" s="148"/>
      <c r="DT41" s="98" t="str">
        <f t="shared" si="25"/>
        <v/>
      </c>
      <c r="DU41" s="7" t="str">
        <f t="shared" si="26"/>
        <v/>
      </c>
    </row>
    <row r="42" spans="7:125" x14ac:dyDescent="0.2">
      <c r="G42" s="6">
        <v>22</v>
      </c>
      <c r="H42" s="36"/>
      <c r="I42" s="36"/>
      <c r="J42" s="34"/>
      <c r="K42" s="32"/>
      <c r="L42" s="148" t="str">
        <f>IF(H42="IN",J$12,IF(H42="OUT",J$10,IF(I42="D",I$10,IF(I42="W",I$11,IF(I42="SC",I$12,IF(I42="EX1",I$13,IF(I42="EX2",I$14,"")))))))</f>
        <v/>
      </c>
      <c r="M42" s="148"/>
      <c r="N42" s="98" t="str">
        <f t="shared" si="0"/>
        <v/>
      </c>
      <c r="O42" s="7" t="str">
        <f>IF(I42="D",N42/$I$10,IF(I42="W",N42/$I$11,IF(I42="SC",N42/$I$12,IF(I42="EX1",N42/$I$13,IF(I42="EX2",N42/$I$14,"")))))</f>
        <v/>
      </c>
      <c r="Q42" s="6">
        <v>22</v>
      </c>
      <c r="R42" s="36"/>
      <c r="S42" s="36"/>
      <c r="T42" s="34"/>
      <c r="U42" s="32"/>
      <c r="V42" s="148" t="str">
        <f t="shared" si="30"/>
        <v/>
      </c>
      <c r="W42" s="148"/>
      <c r="X42" s="98" t="str">
        <f t="shared" si="1"/>
        <v/>
      </c>
      <c r="Y42" s="7" t="str">
        <f t="shared" si="31"/>
        <v/>
      </c>
      <c r="AA42" s="6">
        <v>22</v>
      </c>
      <c r="AB42" s="36"/>
      <c r="AC42" s="36" t="s">
        <v>99</v>
      </c>
      <c r="AD42" s="34">
        <v>2</v>
      </c>
      <c r="AE42" s="32">
        <v>25.843</v>
      </c>
      <c r="AF42" s="148">
        <f>燃料消費量!$D$31</f>
        <v>0.35</v>
      </c>
      <c r="AG42" s="148"/>
      <c r="AH42" s="98">
        <f t="shared" si="10"/>
        <v>4.6389668894682039</v>
      </c>
      <c r="AI42" s="7">
        <f t="shared" si="3"/>
        <v>13.254191112766298</v>
      </c>
      <c r="AK42" s="6">
        <v>22</v>
      </c>
      <c r="AL42" s="36"/>
      <c r="AM42" s="36"/>
      <c r="AN42" s="34"/>
      <c r="AO42" s="32"/>
      <c r="AP42" s="148" t="str">
        <f>IF(AL42="IN",AN$12,IF(AL42="OUT",AN$10,IF(AM42="D",AM$10,IF(AM42="W",AM$11,IF(AM42="SC",AM$12,IF(AM42="EX1",AM$13,IF(AM42="EX2",AM$14,"")))))))</f>
        <v/>
      </c>
      <c r="AQ42" s="148"/>
      <c r="AR42" s="98" t="str">
        <f t="shared" si="11"/>
        <v/>
      </c>
      <c r="AS42" s="7" t="str">
        <f>IF(AM42="D",AR42/$AM$10,IF(AM42="W",AR42/$AM$11,IF(AM42="SC",AR42/$AM$12,IF(AM42="EX1",AR42/$AM$13,IF(AM42="EX2",AR42/$AM$14,"")))))</f>
        <v/>
      </c>
      <c r="AT42" s="3"/>
      <c r="AU42" s="6">
        <v>22</v>
      </c>
      <c r="AV42" s="36"/>
      <c r="AW42" s="36"/>
      <c r="AX42" s="34"/>
      <c r="AY42" s="32"/>
      <c r="AZ42" s="148" t="str">
        <f>IF(AV42="IN",AX$12,IF(AV42="OUT",AX$10,IF(AW42="D",AW$10,IF(AW42="W",AW$11,IF(AW42="SC",AW$12,IF(AW42="EX1",AW$13,IF(AW42="EX2",AW$14,"")))))))</f>
        <v/>
      </c>
      <c r="BA42" s="148"/>
      <c r="BB42" s="98" t="str">
        <f t="shared" si="12"/>
        <v/>
      </c>
      <c r="BC42" s="7" t="str">
        <f>IF(AW42="D",BB42/$AW$10,IF(AW42="W",BB42/$AW$11,IF(AW42="SC",BB42/$AW$12,IF(AW42="EX1",BB42/$AW$13,IF(AW42="EX2",BB42/$AW$14,"")))))</f>
        <v/>
      </c>
      <c r="BE42" s="6">
        <v>22</v>
      </c>
      <c r="BF42" s="36"/>
      <c r="BG42" s="36"/>
      <c r="BH42" s="34"/>
      <c r="BI42" s="32"/>
      <c r="BJ42" s="148" t="str">
        <f t="shared" si="37"/>
        <v/>
      </c>
      <c r="BK42" s="148"/>
      <c r="BL42" s="98" t="str">
        <f t="shared" si="13"/>
        <v/>
      </c>
      <c r="BM42" s="7" t="str">
        <f t="shared" si="38"/>
        <v/>
      </c>
      <c r="BO42" s="6">
        <v>22</v>
      </c>
      <c r="BP42" s="36"/>
      <c r="BQ42" s="36"/>
      <c r="BR42" s="34"/>
      <c r="BS42" s="32"/>
      <c r="BT42" s="148" t="str">
        <f t="shared" si="32"/>
        <v/>
      </c>
      <c r="BU42" s="148"/>
      <c r="BV42" s="98" t="str">
        <f t="shared" si="14"/>
        <v/>
      </c>
      <c r="BW42" s="7" t="str">
        <f t="shared" si="33"/>
        <v/>
      </c>
      <c r="BY42" s="6">
        <v>22</v>
      </c>
      <c r="BZ42" s="36"/>
      <c r="CA42" s="36"/>
      <c r="CB42" s="34"/>
      <c r="CC42" s="32"/>
      <c r="CD42" s="148" t="str">
        <f t="shared" si="28"/>
        <v/>
      </c>
      <c r="CE42" s="148"/>
      <c r="CF42" s="98" t="str">
        <f t="shared" si="15"/>
        <v/>
      </c>
      <c r="CG42" s="7" t="str">
        <f t="shared" si="29"/>
        <v/>
      </c>
      <c r="CI42" s="6">
        <v>22</v>
      </c>
      <c r="CJ42" s="36"/>
      <c r="CK42" s="36"/>
      <c r="CL42" s="34"/>
      <c r="CM42" s="32"/>
      <c r="CN42" s="148" t="str">
        <f t="shared" si="34"/>
        <v/>
      </c>
      <c r="CO42" s="148"/>
      <c r="CP42" s="98" t="str">
        <f t="shared" si="16"/>
        <v/>
      </c>
      <c r="CQ42" s="7" t="str">
        <f t="shared" si="35"/>
        <v/>
      </c>
      <c r="CS42" s="6">
        <v>22</v>
      </c>
      <c r="CT42" s="36"/>
      <c r="CU42" s="36"/>
      <c r="CV42" s="34"/>
      <c r="CW42" s="32"/>
      <c r="CX42" s="148" t="str">
        <f t="shared" si="18"/>
        <v/>
      </c>
      <c r="CY42" s="148"/>
      <c r="CZ42" s="98" t="str">
        <f t="shared" si="19"/>
        <v/>
      </c>
      <c r="DA42" s="7" t="str">
        <f t="shared" si="20"/>
        <v/>
      </c>
      <c r="DC42" s="6">
        <v>22</v>
      </c>
      <c r="DD42" s="36"/>
      <c r="DE42" s="36"/>
      <c r="DF42" s="34"/>
      <c r="DG42" s="32"/>
      <c r="DH42" s="148" t="str">
        <f t="shared" si="21"/>
        <v/>
      </c>
      <c r="DI42" s="148"/>
      <c r="DJ42" s="98" t="str">
        <f t="shared" si="22"/>
        <v/>
      </c>
      <c r="DK42" s="7" t="str">
        <f t="shared" si="23"/>
        <v/>
      </c>
      <c r="DM42" s="6">
        <v>22</v>
      </c>
      <c r="DN42" s="36"/>
      <c r="DO42" s="36"/>
      <c r="DP42" s="34"/>
      <c r="DQ42" s="32"/>
      <c r="DR42" s="148" t="str">
        <f t="shared" si="24"/>
        <v/>
      </c>
      <c r="DS42" s="148"/>
      <c r="DT42" s="98" t="str">
        <f t="shared" si="25"/>
        <v/>
      </c>
      <c r="DU42" s="7" t="str">
        <f t="shared" si="26"/>
        <v/>
      </c>
    </row>
    <row r="43" spans="7:125" x14ac:dyDescent="0.2">
      <c r="G43" s="6">
        <v>23</v>
      </c>
      <c r="H43" s="36"/>
      <c r="I43" s="36"/>
      <c r="J43" s="34"/>
      <c r="K43" s="32"/>
      <c r="L43" s="148" t="str">
        <f>IF(H43="IN",J$12,IF(H43="OUT",J$10,IF(I43="D",I$10,IF(I43="W",I$11,IF(I43="SC",I$12,IF(I43="EX1",I$13,IF(I43="EX2",I$14,"")))))))</f>
        <v/>
      </c>
      <c r="M43" s="148"/>
      <c r="N43" s="98" t="str">
        <f t="shared" si="0"/>
        <v/>
      </c>
      <c r="O43" s="7" t="str">
        <f>IF(I43="D",N43/$I$10,IF(I43="W",N43/$I$11,IF(I43="SC",N43/$I$12,IF(I43="EX1",N43/$I$13,IF(I43="EX2",N43/$I$14,"")))))</f>
        <v/>
      </c>
      <c r="Q43" s="6">
        <v>23</v>
      </c>
      <c r="R43" s="36"/>
      <c r="S43" s="36"/>
      <c r="T43" s="34"/>
      <c r="U43" s="32"/>
      <c r="V43" s="148" t="str">
        <f>IF(R43="IN",T$12,IF(R43="OUT",T$10,IF(S43="D",S$10,IF(S43="W",S$11,IF(S43="SC",S$12,IF(S43="EX1",S$13,IF(S43="EX2",S$14,"")))))))</f>
        <v/>
      </c>
      <c r="W43" s="148"/>
      <c r="X43" s="98" t="str">
        <f t="shared" si="1"/>
        <v/>
      </c>
      <c r="Y43" s="7" t="str">
        <f t="shared" ref="Y43:Y46" si="39">IF(S43="D",X43/$S$10,IF(S43="W",X43/$S$11,IF(S43="SC",X43/$S$12,IF(S43="EX1",X43/$S$13,IF(S43="EX2",X43/$S$14,"")))))</f>
        <v/>
      </c>
      <c r="AA43" s="6">
        <v>23</v>
      </c>
      <c r="AB43" s="36"/>
      <c r="AC43" s="36" t="s">
        <v>99</v>
      </c>
      <c r="AD43" s="34">
        <v>2</v>
      </c>
      <c r="AE43" s="32">
        <v>26.085000000000001</v>
      </c>
      <c r="AF43" s="148">
        <f>燃料消費量!$D$31</f>
        <v>0.35</v>
      </c>
      <c r="AG43" s="148"/>
      <c r="AH43" s="98">
        <f t="shared" si="10"/>
        <v>4.2889668894682043</v>
      </c>
      <c r="AI43" s="7">
        <f t="shared" si="3"/>
        <v>12.254191112766298</v>
      </c>
      <c r="AK43" s="6">
        <v>23</v>
      </c>
      <c r="AL43" s="36"/>
      <c r="AM43" s="36"/>
      <c r="AN43" s="34"/>
      <c r="AO43" s="32"/>
      <c r="AP43" s="148" t="str">
        <f>IF(AL43="IN",AN$12,IF(AL43="OUT",AN$10,IF(AM43="D",AM$10,IF(AM43="W",AM$11,IF(AM43="SC",AM$12,IF(AM43="EX1",AM$13,IF(AM43="EX2",AM$14,"")))))))</f>
        <v/>
      </c>
      <c r="AQ43" s="148"/>
      <c r="AR43" s="98" t="str">
        <f t="shared" si="11"/>
        <v/>
      </c>
      <c r="AS43" s="7" t="str">
        <f>IF(AM43="D",AR43/$AM$10,IF(AM43="W",AR43/$AM$11,IF(AM43="SC",AR43/$AM$12,IF(AM43="EX1",AR43/$AM$13,IF(AM43="EX2",AR43/$AM$14,"")))))</f>
        <v/>
      </c>
      <c r="AT43" s="3"/>
      <c r="AU43" s="6">
        <v>23</v>
      </c>
      <c r="AZ43" s="148">
        <f>IF(AV39="IN",AX$12,IF(AV39="OUT",AX$10,IF(AW39="D",AW$10,IF(AW39="W",AW$11,IF(AW39="SC",AW$12,IF(AW39="EX1",AW$13,IF(AW39="EX2",AW$14,"")))))))</f>
        <v>0.33</v>
      </c>
      <c r="BA43" s="148"/>
      <c r="BB43" s="98" t="e">
        <f t="shared" si="12"/>
        <v>#VALUE!</v>
      </c>
      <c r="BC43" s="7" t="e">
        <f>IF(AW39="D",BB43/$AW$10,IF(AW39="W",BB43/$AW$11,IF(AW39="SC",BB43/$AW$12,IF(AW39="EX1",BB43/$AW$13,IF(AW39="EX2",BB43/$AW$14,"")))))</f>
        <v>#VALUE!</v>
      </c>
      <c r="BE43" s="6">
        <v>23</v>
      </c>
      <c r="BF43" s="36"/>
      <c r="BG43" s="36"/>
      <c r="BH43" s="34"/>
      <c r="BI43" s="32"/>
      <c r="BJ43" s="148" t="str">
        <f t="shared" si="37"/>
        <v/>
      </c>
      <c r="BK43" s="148"/>
      <c r="BL43" s="98" t="str">
        <f t="shared" si="13"/>
        <v/>
      </c>
      <c r="BM43" s="7" t="str">
        <f t="shared" si="38"/>
        <v/>
      </c>
      <c r="BO43" s="6">
        <v>23</v>
      </c>
      <c r="BP43" s="36"/>
      <c r="BQ43" s="36"/>
      <c r="BR43" s="34"/>
      <c r="BS43" s="32"/>
      <c r="BT43" s="148" t="str">
        <f t="shared" si="32"/>
        <v/>
      </c>
      <c r="BU43" s="148"/>
      <c r="BV43" s="98" t="str">
        <f t="shared" si="14"/>
        <v/>
      </c>
      <c r="BW43" s="7" t="str">
        <f t="shared" si="33"/>
        <v/>
      </c>
      <c r="BY43" s="6">
        <v>23</v>
      </c>
      <c r="BZ43" s="36"/>
      <c r="CA43" s="36"/>
      <c r="CB43" s="34"/>
      <c r="CC43" s="32"/>
      <c r="CD43" s="148" t="str">
        <f t="shared" si="28"/>
        <v/>
      </c>
      <c r="CE43" s="148"/>
      <c r="CF43" s="98" t="str">
        <f t="shared" si="15"/>
        <v/>
      </c>
      <c r="CG43" s="7" t="str">
        <f t="shared" si="29"/>
        <v/>
      </c>
      <c r="CI43" s="6">
        <v>23</v>
      </c>
      <c r="CJ43" s="36"/>
      <c r="CK43" s="36"/>
      <c r="CL43" s="34"/>
      <c r="CM43" s="32"/>
      <c r="CN43" s="148"/>
      <c r="CO43" s="148"/>
      <c r="CP43" s="98" t="str">
        <f t="shared" si="16"/>
        <v/>
      </c>
      <c r="CQ43" s="7"/>
      <c r="CS43" s="6">
        <v>23</v>
      </c>
      <c r="CT43" s="36"/>
      <c r="CU43" s="36"/>
      <c r="CV43" s="34"/>
      <c r="CW43" s="32"/>
      <c r="CX43" s="148" t="str">
        <f t="shared" si="18"/>
        <v/>
      </c>
      <c r="CY43" s="148"/>
      <c r="CZ43" s="98" t="str">
        <f t="shared" si="19"/>
        <v/>
      </c>
      <c r="DA43" s="7" t="str">
        <f t="shared" si="20"/>
        <v/>
      </c>
      <c r="DC43" s="6">
        <v>23</v>
      </c>
      <c r="DD43" s="36"/>
      <c r="DE43" s="36"/>
      <c r="DF43" s="34"/>
      <c r="DG43" s="32"/>
      <c r="DH43" s="148" t="str">
        <f t="shared" si="21"/>
        <v/>
      </c>
      <c r="DI43" s="148"/>
      <c r="DJ43" s="98" t="str">
        <f t="shared" si="22"/>
        <v/>
      </c>
      <c r="DK43" s="7" t="str">
        <f t="shared" si="23"/>
        <v/>
      </c>
      <c r="DM43" s="6">
        <v>23</v>
      </c>
      <c r="DN43" s="36"/>
      <c r="DO43" s="36"/>
      <c r="DP43" s="34"/>
      <c r="DQ43" s="32"/>
      <c r="DR43" s="148" t="str">
        <f t="shared" si="24"/>
        <v/>
      </c>
      <c r="DS43" s="148"/>
      <c r="DT43" s="98" t="str">
        <f t="shared" si="25"/>
        <v/>
      </c>
      <c r="DU43" s="7" t="str">
        <f t="shared" si="26"/>
        <v/>
      </c>
    </row>
    <row r="44" spans="7:125" x14ac:dyDescent="0.2">
      <c r="G44" s="6">
        <v>24</v>
      </c>
      <c r="H44" s="36"/>
      <c r="I44" s="36"/>
      <c r="J44" s="34"/>
      <c r="K44" s="32"/>
      <c r="L44" s="148" t="str">
        <f t="shared" ref="L44:L60" si="40">IF(H44="IN",J$12,IF(H44="OUT",J$10,IF(I44="D",I$10,IF(I44="W",I$11,IF(I44="SC",I$12,IF(I44="EX1",I$13,IF(I44="EX2",I$14,"")))))))</f>
        <v/>
      </c>
      <c r="M44" s="148"/>
      <c r="N44" s="98" t="str">
        <f t="shared" si="0"/>
        <v/>
      </c>
      <c r="O44" s="7" t="str">
        <f>IF(I44="D",N44/$I$10,IF(I44="W",N44/$I$11,IF(I44="SC",N44/$I$12,IF(I44="EX1",N44/$I$13,IF(I44="EX2",N44/$I$14,"")))))</f>
        <v/>
      </c>
      <c r="Q44" s="6">
        <v>24</v>
      </c>
      <c r="R44" s="36"/>
      <c r="S44" s="36"/>
      <c r="T44" s="34"/>
      <c r="U44" s="32"/>
      <c r="V44" s="148" t="str">
        <f t="shared" ref="V44:V60" si="41">IF(R44="IN",T$12,IF(R44="OUT",T$10,IF(S44="D",S$10,IF(S44="W",S$11,IF(S44="SC",S$12,IF(S44="EX1",S$13,IF(S44="EX2",S$14,"")))))))</f>
        <v/>
      </c>
      <c r="W44" s="148"/>
      <c r="X44" s="98" t="str">
        <f t="shared" si="1"/>
        <v/>
      </c>
      <c r="Y44" s="7" t="str">
        <f t="shared" si="39"/>
        <v/>
      </c>
      <c r="AA44" s="6">
        <v>24</v>
      </c>
      <c r="AB44" s="36" t="s">
        <v>103</v>
      </c>
      <c r="AC44" s="36" t="s">
        <v>99</v>
      </c>
      <c r="AD44" s="34">
        <v>13</v>
      </c>
      <c r="AE44" s="32">
        <v>8.8230000000000004</v>
      </c>
      <c r="AF44" s="148">
        <f>燃料消費量!$L$4</f>
        <v>0.33</v>
      </c>
      <c r="AG44" s="148"/>
      <c r="AH44" s="98">
        <f t="shared" si="10"/>
        <v>3.9589668894682042</v>
      </c>
      <c r="AI44" s="7">
        <f t="shared" si="3"/>
        <v>11.99686936202486</v>
      </c>
      <c r="AK44" s="6">
        <v>24</v>
      </c>
      <c r="AL44" s="36"/>
      <c r="AM44" s="36"/>
      <c r="AN44" s="34"/>
      <c r="AO44" s="32"/>
      <c r="AP44" s="148" t="str">
        <f t="shared" ref="AP44:AP60" si="42">IF(AL44="IN",AN$12,IF(AL44="OUT",AN$10,IF(AM44="D",AM$10,IF(AM44="W",AM$11,IF(AM44="SC",AM$12,IF(AM44="EX1",AM$13,IF(AM44="EX2",AM$14,"")))))))</f>
        <v/>
      </c>
      <c r="AQ44" s="148"/>
      <c r="AR44" s="98" t="str">
        <f t="shared" si="11"/>
        <v/>
      </c>
      <c r="AS44" s="7" t="str">
        <f t="shared" ref="AS44:AS60" si="43">IF(AM44="D",AR44/$AM$10,IF(AM44="W",AR44/$AM$11,IF(AM44="SC",AR44/$AM$12,IF(AM44="EX1",AR44/$AM$13,IF(AM44="EX2",AR44/$AM$14,"")))))</f>
        <v/>
      </c>
      <c r="AT44" s="3"/>
      <c r="AU44" s="6">
        <v>24</v>
      </c>
      <c r="AV44" s="36"/>
      <c r="AW44" s="36"/>
      <c r="AX44" s="34"/>
      <c r="AY44" s="32"/>
      <c r="AZ44" s="148" t="str">
        <f t="shared" ref="AZ44:AZ60" si="44">IF(AV44="IN",AX$12,IF(AV44="OUT",AX$10,IF(AW44="D",AW$10,IF(AW44="W",AW$11,IF(AW44="SC",AW$12,IF(AW44="EX1",AW$13,IF(AW44="EX2",AW$14,"")))))))</f>
        <v/>
      </c>
      <c r="BA44" s="148"/>
      <c r="BB44" s="98" t="str">
        <f t="shared" si="12"/>
        <v/>
      </c>
      <c r="BC44" s="7" t="str">
        <f>IF(AW44="D",BB44/$AW$10,IF(AW44="W",BB44/$AW$11,IF(AW44="SC",BB44/$AW$12,IF(AW44="EX1",BB44/$AW$13,IF(AW44="EX2",BB44/$AW$14,"")))))</f>
        <v/>
      </c>
      <c r="BE44" s="6">
        <v>24</v>
      </c>
      <c r="BF44" s="36"/>
      <c r="BG44" s="36"/>
      <c r="BH44" s="34"/>
      <c r="BI44" s="32"/>
      <c r="BJ44" s="148" t="str">
        <f t="shared" si="37"/>
        <v/>
      </c>
      <c r="BK44" s="148"/>
      <c r="BL44" s="98" t="str">
        <f t="shared" si="13"/>
        <v/>
      </c>
      <c r="BM44" s="7" t="str">
        <f t="shared" si="38"/>
        <v/>
      </c>
      <c r="BO44" s="6">
        <v>24</v>
      </c>
      <c r="BP44" s="36"/>
      <c r="BQ44" s="36"/>
      <c r="BR44" s="34"/>
      <c r="BS44" s="32"/>
      <c r="BT44" s="148" t="str">
        <f t="shared" ref="BT44:BT60" si="45">IF(BP44="IN",BR$12,IF(BP44="OUT",BR$10,IF(BQ44="D",BQ$10,IF(BQ44="W",BQ$11,IF(BQ44="SC",BQ$12,IF(BQ44="EX1",BQ$13,IF(BQ44="EX2",BQ$14,"")))))))</f>
        <v/>
      </c>
      <c r="BU44" s="148"/>
      <c r="BV44" s="98" t="str">
        <f t="shared" si="14"/>
        <v/>
      </c>
      <c r="BW44" s="7" t="str">
        <f>IF(BQ44="D",BV44/$BQ$10,IF(BQ44="W",BV44/$BQ$11,IF(BQ44="SC",BV44/$BQ$12,IF(BQ44="EX1",BV44/$BQ$13,IF(BQ44="EX2",BV44/$BQ$14,"")))))</f>
        <v/>
      </c>
      <c r="BY44" s="6">
        <v>24</v>
      </c>
      <c r="BZ44" s="36"/>
      <c r="CA44" s="36"/>
      <c r="CB44" s="34"/>
      <c r="CC44" s="32"/>
      <c r="CD44" s="148" t="str">
        <f t="shared" si="28"/>
        <v/>
      </c>
      <c r="CE44" s="148"/>
      <c r="CF44" s="98" t="str">
        <f t="shared" si="15"/>
        <v/>
      </c>
      <c r="CG44" s="7" t="str">
        <f t="shared" si="29"/>
        <v/>
      </c>
      <c r="CI44" s="6">
        <v>24</v>
      </c>
      <c r="CJ44" s="36"/>
      <c r="CK44" s="36"/>
      <c r="CL44" s="34"/>
      <c r="CM44" s="32"/>
      <c r="CN44" s="148" t="str">
        <f t="shared" si="34"/>
        <v/>
      </c>
      <c r="CO44" s="148"/>
      <c r="CP44" s="98" t="str">
        <f t="shared" si="16"/>
        <v/>
      </c>
      <c r="CQ44" s="7" t="str">
        <f t="shared" si="35"/>
        <v/>
      </c>
      <c r="CS44" s="6">
        <v>24</v>
      </c>
      <c r="CT44" s="36"/>
      <c r="CU44" s="36"/>
      <c r="CV44" s="34"/>
      <c r="CW44" s="32"/>
      <c r="CX44" s="148" t="str">
        <f t="shared" si="18"/>
        <v/>
      </c>
      <c r="CY44" s="148"/>
      <c r="CZ44" s="98" t="str">
        <f t="shared" si="19"/>
        <v/>
      </c>
      <c r="DA44" s="7" t="str">
        <f t="shared" si="20"/>
        <v/>
      </c>
      <c r="DC44" s="6">
        <v>24</v>
      </c>
      <c r="DD44" s="36"/>
      <c r="DE44" s="36"/>
      <c r="DF44" s="34"/>
      <c r="DG44" s="32"/>
      <c r="DH44" s="148" t="str">
        <f t="shared" si="21"/>
        <v/>
      </c>
      <c r="DI44" s="148"/>
      <c r="DJ44" s="98" t="str">
        <f t="shared" si="22"/>
        <v/>
      </c>
      <c r="DK44" s="7" t="str">
        <f t="shared" si="23"/>
        <v/>
      </c>
      <c r="DM44" s="6">
        <v>24</v>
      </c>
      <c r="DN44" s="36"/>
      <c r="DO44" s="36"/>
      <c r="DP44" s="34"/>
      <c r="DQ44" s="32"/>
      <c r="DR44" s="148" t="str">
        <f t="shared" si="24"/>
        <v/>
      </c>
      <c r="DS44" s="148"/>
      <c r="DT44" s="98" t="str">
        <f t="shared" si="25"/>
        <v/>
      </c>
      <c r="DU44" s="7" t="str">
        <f t="shared" si="26"/>
        <v/>
      </c>
    </row>
    <row r="45" spans="7:125" x14ac:dyDescent="0.2">
      <c r="G45" s="6">
        <v>25</v>
      </c>
      <c r="H45" s="36"/>
      <c r="I45" s="36"/>
      <c r="J45" s="34"/>
      <c r="K45" s="32"/>
      <c r="L45" s="148" t="str">
        <f t="shared" si="40"/>
        <v/>
      </c>
      <c r="M45" s="148"/>
      <c r="N45" s="98" t="str">
        <f t="shared" si="0"/>
        <v/>
      </c>
      <c r="O45" s="7" t="str">
        <f t="shared" ref="O45:O60" si="46">IF(I45="D",N45/$I$10,IF(I45="W",N45/$I$11,IF(I45="SC",N45/$I$12,IF(I45="EX1",N45/$I$13,IF(I45="EX2",N45/$I$14,"")))))</f>
        <v/>
      </c>
      <c r="Q45" s="6">
        <v>25</v>
      </c>
      <c r="R45" s="36"/>
      <c r="S45" s="36"/>
      <c r="T45" s="34"/>
      <c r="U45" s="32"/>
      <c r="V45" s="148" t="str">
        <f t="shared" si="41"/>
        <v/>
      </c>
      <c r="W45" s="148"/>
      <c r="X45" s="98" t="str">
        <f t="shared" si="1"/>
        <v/>
      </c>
      <c r="Y45" s="7" t="str">
        <f t="shared" si="39"/>
        <v/>
      </c>
      <c r="AA45" s="6">
        <v>25</v>
      </c>
      <c r="AB45" s="36"/>
      <c r="AC45" s="36"/>
      <c r="AD45" s="34"/>
      <c r="AE45" s="32"/>
      <c r="AF45" s="148" t="str">
        <f>IF(AB45="IN",AD$12,IF(AB45="OUT",AD$10,IF(AC45="D",AC$10,IF(AC45="W",AC$11,IF(AC45="SC",AC$12,IF(AC45="EX1",AC$13,IF(AC45="EX2",AC$14,"")))))))</f>
        <v/>
      </c>
      <c r="AG45" s="148"/>
      <c r="AH45" s="98" t="str">
        <f t="shared" si="10"/>
        <v/>
      </c>
      <c r="AI45" s="7" t="str">
        <f>IF(AC45="D",AH45/$AC$10,IF(AC45="W",AH45/$AC$11,IF(AC45="SC",AH45/$AC$12,IF(AC45="EX1",AH45/$AC$13,IF(AC45="EX2",AH45/$AC$14,"")))))</f>
        <v/>
      </c>
      <c r="AK45" s="6">
        <v>25</v>
      </c>
      <c r="AL45" s="36"/>
      <c r="AM45" s="36"/>
      <c r="AN45" s="34"/>
      <c r="AO45" s="32"/>
      <c r="AP45" s="148" t="str">
        <f t="shared" si="42"/>
        <v/>
      </c>
      <c r="AQ45" s="148"/>
      <c r="AR45" s="98" t="str">
        <f t="shared" si="11"/>
        <v/>
      </c>
      <c r="AS45" s="7" t="str">
        <f t="shared" si="43"/>
        <v/>
      </c>
      <c r="AT45" s="3"/>
      <c r="AU45" s="6">
        <v>25</v>
      </c>
      <c r="AV45" s="36"/>
      <c r="AW45" s="36"/>
      <c r="AX45" s="34"/>
      <c r="AY45" s="32"/>
      <c r="AZ45" s="148" t="str">
        <f t="shared" si="44"/>
        <v/>
      </c>
      <c r="BA45" s="148"/>
      <c r="BB45" s="98" t="str">
        <f t="shared" si="12"/>
        <v/>
      </c>
      <c r="BC45" s="7" t="str">
        <f>IF(AW45="D",BB45/$AW$10,IF(AW45="W",BB45/$AW$11,IF(AW45="SC",BB45/$AW$12,IF(AW45="EX1",BB45/$AW$13,IF(AW45="EX2",BB45/$AW$14,"")))))</f>
        <v/>
      </c>
      <c r="BE45" s="6">
        <v>25</v>
      </c>
      <c r="BF45" s="36"/>
      <c r="BG45" s="36"/>
      <c r="BH45" s="34"/>
      <c r="BI45" s="32"/>
      <c r="BJ45" s="148" t="str">
        <f t="shared" si="37"/>
        <v/>
      </c>
      <c r="BK45" s="148"/>
      <c r="BL45" s="98" t="str">
        <f t="shared" si="13"/>
        <v/>
      </c>
      <c r="BM45" s="7" t="str">
        <f t="shared" si="38"/>
        <v/>
      </c>
      <c r="BO45" s="6">
        <v>25</v>
      </c>
      <c r="BP45" s="36"/>
      <c r="BQ45" s="36"/>
      <c r="BR45" s="34"/>
      <c r="BS45" s="32"/>
      <c r="BT45" s="148" t="str">
        <f t="shared" si="45"/>
        <v/>
      </c>
      <c r="BU45" s="148"/>
      <c r="BV45" s="98" t="str">
        <f t="shared" si="14"/>
        <v/>
      </c>
      <c r="BW45" s="7" t="str">
        <f t="shared" ref="BW45:BW60" si="47">IF(BQ45="D",BV45/$BQ$10,IF(BQ45="W",BV45/$BQ$11,IF(BQ45="SC",BV45/$BQ$12,IF(BQ45="EX1",BV45/$BQ$13,IF(BQ45="EX2",BV45/$BQ$14,"")))))</f>
        <v/>
      </c>
      <c r="BY45" s="6">
        <v>25</v>
      </c>
      <c r="BZ45" s="36"/>
      <c r="CA45" s="36"/>
      <c r="CB45" s="34"/>
      <c r="CC45" s="32"/>
      <c r="CD45" s="148" t="str">
        <f t="shared" si="28"/>
        <v/>
      </c>
      <c r="CE45" s="148"/>
      <c r="CF45" s="98" t="str">
        <f t="shared" si="15"/>
        <v/>
      </c>
      <c r="CG45" s="7" t="str">
        <f t="shared" si="29"/>
        <v/>
      </c>
      <c r="CI45" s="6">
        <v>25</v>
      </c>
      <c r="CJ45" s="36"/>
      <c r="CK45" s="36"/>
      <c r="CL45" s="34"/>
      <c r="CM45" s="32"/>
      <c r="CN45" s="148" t="str">
        <f t="shared" si="34"/>
        <v/>
      </c>
      <c r="CO45" s="148"/>
      <c r="CP45" s="98" t="str">
        <f t="shared" si="16"/>
        <v/>
      </c>
      <c r="CQ45" s="7" t="str">
        <f t="shared" si="35"/>
        <v/>
      </c>
      <c r="CS45" s="6">
        <v>25</v>
      </c>
      <c r="CT45" s="36"/>
      <c r="CU45" s="36"/>
      <c r="CV45" s="34"/>
      <c r="CW45" s="32"/>
      <c r="CX45" s="148" t="str">
        <f t="shared" si="18"/>
        <v/>
      </c>
      <c r="CY45" s="148"/>
      <c r="CZ45" s="98" t="str">
        <f t="shared" si="19"/>
        <v/>
      </c>
      <c r="DA45" s="7" t="str">
        <f t="shared" si="20"/>
        <v/>
      </c>
      <c r="DC45" s="6">
        <v>25</v>
      </c>
      <c r="DD45" s="36"/>
      <c r="DE45" s="36"/>
      <c r="DF45" s="34"/>
      <c r="DG45" s="32"/>
      <c r="DH45" s="148" t="str">
        <f t="shared" si="21"/>
        <v/>
      </c>
      <c r="DI45" s="148"/>
      <c r="DJ45" s="98" t="str">
        <f t="shared" si="22"/>
        <v/>
      </c>
      <c r="DK45" s="7" t="str">
        <f t="shared" si="23"/>
        <v/>
      </c>
      <c r="DM45" s="6">
        <v>25</v>
      </c>
      <c r="DN45" s="36"/>
      <c r="DO45" s="36"/>
      <c r="DP45" s="34"/>
      <c r="DQ45" s="32"/>
      <c r="DR45" s="148" t="str">
        <f t="shared" si="24"/>
        <v/>
      </c>
      <c r="DS45" s="148"/>
      <c r="DT45" s="98" t="str">
        <f t="shared" si="25"/>
        <v/>
      </c>
      <c r="DU45" s="7" t="str">
        <f t="shared" si="26"/>
        <v/>
      </c>
    </row>
    <row r="46" spans="7:125" x14ac:dyDescent="0.2">
      <c r="G46" s="6">
        <v>26</v>
      </c>
      <c r="H46" s="36"/>
      <c r="I46" s="36"/>
      <c r="J46" s="34"/>
      <c r="K46" s="32"/>
      <c r="L46" s="148" t="str">
        <f t="shared" si="40"/>
        <v/>
      </c>
      <c r="M46" s="148"/>
      <c r="N46" s="98" t="str">
        <f t="shared" si="0"/>
        <v/>
      </c>
      <c r="O46" s="7" t="str">
        <f t="shared" si="46"/>
        <v/>
      </c>
      <c r="Q46" s="6">
        <v>26</v>
      </c>
      <c r="R46" s="36"/>
      <c r="S46" s="36"/>
      <c r="T46" s="34"/>
      <c r="U46" s="32"/>
      <c r="V46" s="148" t="str">
        <f t="shared" si="41"/>
        <v/>
      </c>
      <c r="W46" s="148"/>
      <c r="X46" s="98" t="str">
        <f t="shared" si="1"/>
        <v/>
      </c>
      <c r="Y46" s="7" t="str">
        <f t="shared" si="39"/>
        <v/>
      </c>
      <c r="AA46" s="6">
        <v>26</v>
      </c>
      <c r="AB46" s="36"/>
      <c r="AC46" s="36"/>
      <c r="AD46" s="34"/>
      <c r="AE46" s="32"/>
      <c r="AF46" s="148" t="str">
        <f t="shared" ref="AF46:AF60" si="48">IF(AB46="IN",AD$12,IF(AB46="OUT",AD$10,IF(AC46="D",AC$10,IF(AC46="W",AC$11,IF(AC46="SC",AC$12,IF(AC46="EX1",AC$13,IF(AC46="EX2",AC$14,"")))))))</f>
        <v/>
      </c>
      <c r="AG46" s="148"/>
      <c r="AH46" s="98" t="str">
        <f t="shared" si="10"/>
        <v/>
      </c>
      <c r="AI46" s="7" t="str">
        <f>IF(AC46="D",AH46/$AC$10,IF(AC46="W",AH46/$AC$11,IF(AC46="SC",AH46/$AC$12,IF(AC46="EX1",AH46/$AC$13,IF(AC46="EX2",AH46/$AC$14,"")))))</f>
        <v/>
      </c>
      <c r="AK46" s="6">
        <v>26</v>
      </c>
      <c r="AL46" s="36"/>
      <c r="AM46" s="36"/>
      <c r="AN46" s="34"/>
      <c r="AO46" s="32"/>
      <c r="AP46" s="148" t="str">
        <f t="shared" si="42"/>
        <v/>
      </c>
      <c r="AQ46" s="148"/>
      <c r="AR46" s="98" t="str">
        <f t="shared" si="11"/>
        <v/>
      </c>
      <c r="AS46" s="7" t="str">
        <f t="shared" si="43"/>
        <v/>
      </c>
      <c r="AT46" s="3"/>
      <c r="AU46" s="6">
        <v>26</v>
      </c>
      <c r="AV46" s="36"/>
      <c r="AW46" s="36"/>
      <c r="AX46" s="34"/>
      <c r="AY46" s="32"/>
      <c r="AZ46" s="148" t="str">
        <f t="shared" si="44"/>
        <v/>
      </c>
      <c r="BA46" s="148"/>
      <c r="BB46" s="98" t="str">
        <f t="shared" si="12"/>
        <v/>
      </c>
      <c r="BC46" s="7" t="str">
        <f t="shared" ref="BC46:BC60" si="49">IF(AW46="D",BB46/$AW$10,IF(AW46="W",BB46/$AW$11,IF(AW46="SC",BB46/$AW$12,IF(AW46="EX1",BB46/$AW$13,IF(AW46="EX2",BB46/$AW$14,"")))))</f>
        <v/>
      </c>
      <c r="BE46" s="6">
        <v>26</v>
      </c>
      <c r="BF46" s="36"/>
      <c r="BG46" s="36"/>
      <c r="BH46" s="34"/>
      <c r="BI46" s="32"/>
      <c r="BJ46" s="148" t="str">
        <f t="shared" si="37"/>
        <v/>
      </c>
      <c r="BK46" s="148"/>
      <c r="BL46" s="98" t="str">
        <f t="shared" si="13"/>
        <v/>
      </c>
      <c r="BM46" s="7" t="str">
        <f t="shared" si="38"/>
        <v/>
      </c>
      <c r="BO46" s="6">
        <v>26</v>
      </c>
      <c r="BP46" s="36"/>
      <c r="BQ46" s="36"/>
      <c r="BR46" s="34"/>
      <c r="BS46" s="32"/>
      <c r="BT46" s="148" t="str">
        <f t="shared" si="45"/>
        <v/>
      </c>
      <c r="BU46" s="148"/>
      <c r="BV46" s="98" t="str">
        <f t="shared" si="14"/>
        <v/>
      </c>
      <c r="BW46" s="7" t="str">
        <f t="shared" si="47"/>
        <v/>
      </c>
      <c r="BY46" s="6">
        <v>26</v>
      </c>
      <c r="BZ46" s="36"/>
      <c r="CA46" s="36"/>
      <c r="CB46" s="34"/>
      <c r="CC46" s="32"/>
      <c r="CD46" s="148" t="str">
        <f t="shared" si="28"/>
        <v/>
      </c>
      <c r="CE46" s="148"/>
      <c r="CF46" s="98" t="str">
        <f t="shared" si="15"/>
        <v/>
      </c>
      <c r="CG46" s="7" t="str">
        <f t="shared" si="29"/>
        <v/>
      </c>
      <c r="CI46" s="6">
        <v>26</v>
      </c>
      <c r="CJ46" s="36"/>
      <c r="CK46" s="36"/>
      <c r="CL46" s="34"/>
      <c r="CM46" s="32"/>
      <c r="CN46" s="148" t="str">
        <f t="shared" si="34"/>
        <v/>
      </c>
      <c r="CO46" s="148"/>
      <c r="CP46" s="98" t="str">
        <f t="shared" si="16"/>
        <v/>
      </c>
      <c r="CQ46" s="7" t="str">
        <f t="shared" si="35"/>
        <v/>
      </c>
      <c r="CS46" s="6">
        <v>26</v>
      </c>
      <c r="CT46" s="36"/>
      <c r="CU46" s="36"/>
      <c r="CV46" s="34"/>
      <c r="CW46" s="32"/>
      <c r="CX46" s="148" t="str">
        <f t="shared" si="18"/>
        <v/>
      </c>
      <c r="CY46" s="148"/>
      <c r="CZ46" s="98" t="str">
        <f t="shared" si="19"/>
        <v/>
      </c>
      <c r="DA46" s="7" t="str">
        <f t="shared" si="20"/>
        <v/>
      </c>
      <c r="DC46" s="6">
        <v>26</v>
      </c>
      <c r="DD46" s="36"/>
      <c r="DE46" s="36"/>
      <c r="DF46" s="34"/>
      <c r="DG46" s="32"/>
      <c r="DH46" s="148" t="str">
        <f t="shared" si="21"/>
        <v/>
      </c>
      <c r="DI46" s="148"/>
      <c r="DJ46" s="98" t="str">
        <f t="shared" si="22"/>
        <v/>
      </c>
      <c r="DK46" s="7" t="str">
        <f t="shared" si="23"/>
        <v/>
      </c>
      <c r="DM46" s="6">
        <v>26</v>
      </c>
      <c r="DN46" s="36"/>
      <c r="DO46" s="36"/>
      <c r="DP46" s="34"/>
      <c r="DQ46" s="32"/>
      <c r="DR46" s="148" t="str">
        <f t="shared" si="24"/>
        <v/>
      </c>
      <c r="DS46" s="148"/>
      <c r="DT46" s="98" t="str">
        <f t="shared" si="25"/>
        <v/>
      </c>
      <c r="DU46" s="7" t="str">
        <f t="shared" si="26"/>
        <v/>
      </c>
    </row>
    <row r="47" spans="7:125" x14ac:dyDescent="0.2">
      <c r="G47" s="6">
        <v>27</v>
      </c>
      <c r="H47" s="36"/>
      <c r="I47" s="36"/>
      <c r="J47" s="34"/>
      <c r="K47" s="32"/>
      <c r="L47" s="148" t="str">
        <f t="shared" si="40"/>
        <v/>
      </c>
      <c r="M47" s="148"/>
      <c r="N47" s="98" t="str">
        <f t="shared" si="0"/>
        <v/>
      </c>
      <c r="O47" s="7" t="str">
        <f t="shared" si="46"/>
        <v/>
      </c>
      <c r="Q47" s="6">
        <v>27</v>
      </c>
      <c r="R47" s="36"/>
      <c r="S47" s="36"/>
      <c r="T47" s="34"/>
      <c r="U47" s="32"/>
      <c r="V47" s="148" t="str">
        <f t="shared" si="41"/>
        <v/>
      </c>
      <c r="W47" s="148"/>
      <c r="X47" s="98" t="str">
        <f t="shared" si="1"/>
        <v/>
      </c>
      <c r="Y47" s="7" t="str">
        <f t="shared" ref="Y47:Y60" si="50">IF(S47="D",X47/$S$10,IF(S47="W",X47/$S$11,IF(S47="SC",X47/$S$12,IF(S47="EX1",X47/$S$13,IF(S47="EX2",X47/$S$14,"")))))</f>
        <v/>
      </c>
      <c r="AA47" s="6">
        <v>27</v>
      </c>
      <c r="AB47" s="36"/>
      <c r="AC47" s="36"/>
      <c r="AD47" s="34"/>
      <c r="AE47" s="32"/>
      <c r="AF47" s="148" t="str">
        <f t="shared" si="48"/>
        <v/>
      </c>
      <c r="AG47" s="148"/>
      <c r="AH47" s="98" t="str">
        <f t="shared" si="10"/>
        <v/>
      </c>
      <c r="AI47" s="7" t="str">
        <f t="shared" ref="AI47:AI60" si="51">IF(AC47="D",AH47/$AC$10,IF(AC47="W",AH47/$AC$11,IF(AC47="SC",AH47/$AC$12,IF(AC47="EX1",AH47/$AC$13,IF(AC47="EX2",AH47/$AC$14,"")))))</f>
        <v/>
      </c>
      <c r="AK47" s="6">
        <v>27</v>
      </c>
      <c r="AL47" s="36"/>
      <c r="AM47" s="36"/>
      <c r="AN47" s="34"/>
      <c r="AO47" s="32"/>
      <c r="AP47" s="148" t="str">
        <f t="shared" si="42"/>
        <v/>
      </c>
      <c r="AQ47" s="148"/>
      <c r="AR47" s="98" t="str">
        <f t="shared" si="11"/>
        <v/>
      </c>
      <c r="AS47" s="7" t="str">
        <f t="shared" si="43"/>
        <v/>
      </c>
      <c r="AT47" s="3"/>
      <c r="AU47" s="6">
        <v>27</v>
      </c>
      <c r="AV47" s="36"/>
      <c r="AW47" s="36"/>
      <c r="AX47" s="34"/>
      <c r="AY47" s="32"/>
      <c r="AZ47" s="148" t="str">
        <f t="shared" si="44"/>
        <v/>
      </c>
      <c r="BA47" s="148"/>
      <c r="BB47" s="98" t="str">
        <f t="shared" si="12"/>
        <v/>
      </c>
      <c r="BC47" s="7" t="str">
        <f t="shared" si="49"/>
        <v/>
      </c>
      <c r="BE47" s="6">
        <v>27</v>
      </c>
      <c r="BF47" s="36"/>
      <c r="BG47" s="36"/>
      <c r="BH47" s="34"/>
      <c r="BI47" s="32"/>
      <c r="BJ47" s="148" t="str">
        <f t="shared" ref="BJ47:BJ60" si="52">IF(BF47="IN",BH$12,IF(BF47="OUT",BH$10,IF(BG47="D",BG$10,IF(BG47="W",BG$11,IF(BG47="SC",BG$12,IF(BG47="EX1",BG$13,IF(BG47="EX2",BG$14,"")))))))</f>
        <v/>
      </c>
      <c r="BK47" s="148"/>
      <c r="BL47" s="98" t="str">
        <f t="shared" si="13"/>
        <v/>
      </c>
      <c r="BM47" s="7" t="str">
        <f t="shared" si="38"/>
        <v/>
      </c>
      <c r="BO47" s="6">
        <v>27</v>
      </c>
      <c r="BP47" s="36"/>
      <c r="BQ47" s="36"/>
      <c r="BR47" s="34"/>
      <c r="BS47" s="32"/>
      <c r="BT47" s="148" t="str">
        <f t="shared" si="45"/>
        <v/>
      </c>
      <c r="BU47" s="148"/>
      <c r="BV47" s="98" t="str">
        <f t="shared" si="14"/>
        <v/>
      </c>
      <c r="BW47" s="7" t="str">
        <f t="shared" si="47"/>
        <v/>
      </c>
      <c r="BY47" s="6">
        <v>27</v>
      </c>
      <c r="BZ47" s="36"/>
      <c r="CA47" s="36"/>
      <c r="CB47" s="34"/>
      <c r="CC47" s="32"/>
      <c r="CD47" s="148" t="str">
        <f t="shared" si="28"/>
        <v/>
      </c>
      <c r="CE47" s="148"/>
      <c r="CF47" s="98" t="str">
        <f t="shared" si="15"/>
        <v/>
      </c>
      <c r="CG47" s="7" t="str">
        <f t="shared" si="29"/>
        <v/>
      </c>
      <c r="CI47" s="6">
        <v>27</v>
      </c>
      <c r="CJ47" s="36"/>
      <c r="CK47" s="36"/>
      <c r="CL47" s="34"/>
      <c r="CM47" s="32"/>
      <c r="CN47" s="148" t="str">
        <f t="shared" si="34"/>
        <v/>
      </c>
      <c r="CO47" s="148"/>
      <c r="CP47" s="98" t="str">
        <f t="shared" si="16"/>
        <v/>
      </c>
      <c r="CQ47" s="7" t="str">
        <f t="shared" si="35"/>
        <v/>
      </c>
      <c r="CS47" s="6">
        <v>27</v>
      </c>
      <c r="CT47" s="36"/>
      <c r="CU47" s="36"/>
      <c r="CV47" s="34"/>
      <c r="CW47" s="32"/>
      <c r="CX47" s="148" t="str">
        <f t="shared" si="18"/>
        <v/>
      </c>
      <c r="CY47" s="148"/>
      <c r="CZ47" s="98" t="str">
        <f t="shared" si="19"/>
        <v/>
      </c>
      <c r="DA47" s="7" t="str">
        <f t="shared" si="20"/>
        <v/>
      </c>
      <c r="DC47" s="6">
        <v>27</v>
      </c>
      <c r="DD47" s="36"/>
      <c r="DE47" s="36"/>
      <c r="DF47" s="34"/>
      <c r="DG47" s="32"/>
      <c r="DH47" s="148" t="str">
        <f t="shared" si="21"/>
        <v/>
      </c>
      <c r="DI47" s="148"/>
      <c r="DJ47" s="98" t="str">
        <f t="shared" si="22"/>
        <v/>
      </c>
      <c r="DK47" s="7" t="str">
        <f t="shared" si="23"/>
        <v/>
      </c>
      <c r="DM47" s="6">
        <v>27</v>
      </c>
      <c r="DN47" s="36"/>
      <c r="DO47" s="36"/>
      <c r="DP47" s="34"/>
      <c r="DQ47" s="32"/>
      <c r="DR47" s="148" t="str">
        <f t="shared" si="24"/>
        <v/>
      </c>
      <c r="DS47" s="148"/>
      <c r="DT47" s="98" t="str">
        <f t="shared" si="25"/>
        <v/>
      </c>
      <c r="DU47" s="7" t="str">
        <f t="shared" si="26"/>
        <v/>
      </c>
    </row>
    <row r="48" spans="7:125" x14ac:dyDescent="0.2">
      <c r="G48" s="6">
        <v>28</v>
      </c>
      <c r="H48" s="36"/>
      <c r="I48" s="36"/>
      <c r="J48" s="34"/>
      <c r="K48" s="32"/>
      <c r="L48" s="148" t="str">
        <f t="shared" si="40"/>
        <v/>
      </c>
      <c r="M48" s="148"/>
      <c r="N48" s="98" t="str">
        <f t="shared" si="0"/>
        <v/>
      </c>
      <c r="O48" s="7" t="str">
        <f t="shared" si="46"/>
        <v/>
      </c>
      <c r="Q48" s="6">
        <v>28</v>
      </c>
      <c r="R48" s="36"/>
      <c r="S48" s="36"/>
      <c r="T48" s="34"/>
      <c r="U48" s="32"/>
      <c r="V48" s="148" t="str">
        <f t="shared" si="41"/>
        <v/>
      </c>
      <c r="W48" s="148"/>
      <c r="X48" s="98" t="str">
        <f t="shared" si="1"/>
        <v/>
      </c>
      <c r="Y48" s="7" t="str">
        <f t="shared" si="50"/>
        <v/>
      </c>
      <c r="AA48" s="6">
        <v>28</v>
      </c>
      <c r="AB48" s="36"/>
      <c r="AC48" s="36"/>
      <c r="AD48" s="34"/>
      <c r="AE48" s="32"/>
      <c r="AF48" s="148" t="str">
        <f t="shared" si="48"/>
        <v/>
      </c>
      <c r="AG48" s="148"/>
      <c r="AH48" s="98" t="str">
        <f t="shared" si="10"/>
        <v/>
      </c>
      <c r="AI48" s="7" t="str">
        <f t="shared" si="51"/>
        <v/>
      </c>
      <c r="AK48" s="6">
        <v>28</v>
      </c>
      <c r="AL48" s="36"/>
      <c r="AM48" s="36"/>
      <c r="AN48" s="34"/>
      <c r="AO48" s="32"/>
      <c r="AP48" s="148" t="str">
        <f t="shared" si="42"/>
        <v/>
      </c>
      <c r="AQ48" s="148"/>
      <c r="AR48" s="98" t="str">
        <f t="shared" si="11"/>
        <v/>
      </c>
      <c r="AS48" s="7" t="str">
        <f t="shared" si="43"/>
        <v/>
      </c>
      <c r="AT48" s="3"/>
      <c r="AU48" s="6">
        <v>28</v>
      </c>
      <c r="AV48" s="36"/>
      <c r="AW48" s="36"/>
      <c r="AX48" s="34"/>
      <c r="AY48" s="32"/>
      <c r="AZ48" s="148" t="str">
        <f t="shared" si="44"/>
        <v/>
      </c>
      <c r="BA48" s="148"/>
      <c r="BB48" s="98" t="str">
        <f t="shared" si="12"/>
        <v/>
      </c>
      <c r="BC48" s="7" t="str">
        <f t="shared" si="49"/>
        <v/>
      </c>
      <c r="BE48" s="6">
        <v>28</v>
      </c>
      <c r="BF48" s="36"/>
      <c r="BG48" s="36"/>
      <c r="BH48" s="34"/>
      <c r="BI48" s="32"/>
      <c r="BJ48" s="148" t="str">
        <f t="shared" si="52"/>
        <v/>
      </c>
      <c r="BK48" s="148"/>
      <c r="BL48" s="98" t="str">
        <f t="shared" si="13"/>
        <v/>
      </c>
      <c r="BM48" s="7" t="str">
        <f t="shared" ref="BM48:BM60" si="53">IF(BG48="D",BL48/$BG$10,IF(BG48="W",BL48/$BG$11,IF(BG48="SC",BL48/$BG$12,IF(BG48="EX1",BL48/$BG$13,IF(BG48="EX2",BL48/$BG$14,"")))))</f>
        <v/>
      </c>
      <c r="BO48" s="6">
        <v>28</v>
      </c>
      <c r="BP48" s="36"/>
      <c r="BQ48" s="36"/>
      <c r="BR48" s="34"/>
      <c r="BS48" s="32"/>
      <c r="BT48" s="148" t="str">
        <f t="shared" si="45"/>
        <v/>
      </c>
      <c r="BU48" s="148"/>
      <c r="BV48" s="98" t="str">
        <f t="shared" si="14"/>
        <v/>
      </c>
      <c r="BW48" s="7" t="str">
        <f t="shared" si="47"/>
        <v/>
      </c>
      <c r="BY48" s="6">
        <v>28</v>
      </c>
      <c r="BZ48" s="36"/>
      <c r="CA48" s="36"/>
      <c r="CB48" s="34"/>
      <c r="CC48" s="32"/>
      <c r="CD48" s="148" t="str">
        <f t="shared" si="28"/>
        <v/>
      </c>
      <c r="CE48" s="148"/>
      <c r="CF48" s="98" t="str">
        <f t="shared" si="15"/>
        <v/>
      </c>
      <c r="CG48" s="7" t="str">
        <f t="shared" si="29"/>
        <v/>
      </c>
      <c r="CI48" s="6">
        <v>28</v>
      </c>
      <c r="CJ48" s="36"/>
      <c r="CK48" s="36"/>
      <c r="CL48" s="34"/>
      <c r="CM48" s="32"/>
      <c r="CN48" s="148" t="str">
        <f t="shared" si="34"/>
        <v/>
      </c>
      <c r="CO48" s="148"/>
      <c r="CP48" s="98" t="str">
        <f t="shared" si="16"/>
        <v/>
      </c>
      <c r="CQ48" s="7" t="str">
        <f t="shared" si="35"/>
        <v/>
      </c>
      <c r="CS48" s="6">
        <v>28</v>
      </c>
      <c r="CT48" s="36"/>
      <c r="CU48" s="36"/>
      <c r="CV48" s="34"/>
      <c r="CW48" s="32"/>
      <c r="CX48" s="148" t="str">
        <f t="shared" si="18"/>
        <v/>
      </c>
      <c r="CY48" s="148"/>
      <c r="CZ48" s="98" t="str">
        <f t="shared" si="19"/>
        <v/>
      </c>
      <c r="DA48" s="7" t="str">
        <f t="shared" si="20"/>
        <v/>
      </c>
      <c r="DC48" s="6">
        <v>28</v>
      </c>
      <c r="DD48" s="36"/>
      <c r="DE48" s="36"/>
      <c r="DF48" s="34"/>
      <c r="DG48" s="32"/>
      <c r="DH48" s="148" t="str">
        <f t="shared" si="21"/>
        <v/>
      </c>
      <c r="DI48" s="148"/>
      <c r="DJ48" s="98" t="str">
        <f t="shared" si="22"/>
        <v/>
      </c>
      <c r="DK48" s="7" t="str">
        <f t="shared" si="23"/>
        <v/>
      </c>
      <c r="DM48" s="6">
        <v>28</v>
      </c>
      <c r="DN48" s="36"/>
      <c r="DO48" s="36"/>
      <c r="DP48" s="34"/>
      <c r="DQ48" s="32"/>
      <c r="DR48" s="148" t="str">
        <f t="shared" si="24"/>
        <v/>
      </c>
      <c r="DS48" s="148"/>
      <c r="DT48" s="98" t="str">
        <f t="shared" si="25"/>
        <v/>
      </c>
      <c r="DU48" s="7" t="str">
        <f t="shared" si="26"/>
        <v/>
      </c>
    </row>
    <row r="49" spans="7:125" x14ac:dyDescent="0.2">
      <c r="G49" s="6">
        <v>29</v>
      </c>
      <c r="H49" s="36"/>
      <c r="I49" s="36"/>
      <c r="J49" s="34"/>
      <c r="K49" s="32"/>
      <c r="L49" s="148" t="str">
        <f t="shared" si="40"/>
        <v/>
      </c>
      <c r="M49" s="148"/>
      <c r="N49" s="98" t="str">
        <f t="shared" si="0"/>
        <v/>
      </c>
      <c r="O49" s="7" t="str">
        <f t="shared" si="46"/>
        <v/>
      </c>
      <c r="Q49" s="6">
        <v>29</v>
      </c>
      <c r="R49" s="36"/>
      <c r="S49" s="36"/>
      <c r="T49" s="34"/>
      <c r="U49" s="32"/>
      <c r="V49" s="148" t="str">
        <f t="shared" si="41"/>
        <v/>
      </c>
      <c r="W49" s="148"/>
      <c r="X49" s="98" t="str">
        <f t="shared" si="1"/>
        <v/>
      </c>
      <c r="Y49" s="7" t="str">
        <f t="shared" si="50"/>
        <v/>
      </c>
      <c r="AA49" s="6">
        <v>29</v>
      </c>
      <c r="AB49" s="36"/>
      <c r="AC49" s="36"/>
      <c r="AD49" s="34"/>
      <c r="AE49" s="32"/>
      <c r="AF49" s="148" t="str">
        <f t="shared" si="48"/>
        <v/>
      </c>
      <c r="AG49" s="148"/>
      <c r="AH49" s="98" t="str">
        <f t="shared" si="10"/>
        <v/>
      </c>
      <c r="AI49" s="7" t="str">
        <f t="shared" si="51"/>
        <v/>
      </c>
      <c r="AK49" s="6">
        <v>29</v>
      </c>
      <c r="AL49" s="36"/>
      <c r="AM49" s="36"/>
      <c r="AN49" s="34"/>
      <c r="AO49" s="32"/>
      <c r="AP49" s="148" t="str">
        <f t="shared" si="42"/>
        <v/>
      </c>
      <c r="AQ49" s="148"/>
      <c r="AR49" s="98" t="str">
        <f t="shared" si="11"/>
        <v/>
      </c>
      <c r="AS49" s="7" t="str">
        <f t="shared" si="43"/>
        <v/>
      </c>
      <c r="AT49" s="3"/>
      <c r="AU49" s="6">
        <v>29</v>
      </c>
      <c r="AV49" s="36"/>
      <c r="AW49" s="36"/>
      <c r="AX49" s="34"/>
      <c r="AY49" s="32"/>
      <c r="AZ49" s="148" t="str">
        <f t="shared" si="44"/>
        <v/>
      </c>
      <c r="BA49" s="148"/>
      <c r="BB49" s="98" t="str">
        <f t="shared" si="12"/>
        <v/>
      </c>
      <c r="BC49" s="7" t="str">
        <f t="shared" si="49"/>
        <v/>
      </c>
      <c r="BE49" s="6">
        <v>29</v>
      </c>
      <c r="BF49" s="36"/>
      <c r="BG49" s="36"/>
      <c r="BH49" s="34"/>
      <c r="BI49" s="32"/>
      <c r="BJ49" s="148" t="str">
        <f t="shared" si="52"/>
        <v/>
      </c>
      <c r="BK49" s="148"/>
      <c r="BL49" s="98" t="str">
        <f t="shared" si="13"/>
        <v/>
      </c>
      <c r="BM49" s="7" t="str">
        <f t="shared" si="53"/>
        <v/>
      </c>
      <c r="BO49" s="6">
        <v>29</v>
      </c>
      <c r="BP49" s="36"/>
      <c r="BQ49" s="36"/>
      <c r="BR49" s="34"/>
      <c r="BS49" s="32"/>
      <c r="BT49" s="148" t="str">
        <f t="shared" si="45"/>
        <v/>
      </c>
      <c r="BU49" s="148"/>
      <c r="BV49" s="98" t="str">
        <f t="shared" si="14"/>
        <v/>
      </c>
      <c r="BW49" s="7" t="str">
        <f t="shared" si="47"/>
        <v/>
      </c>
      <c r="BY49" s="6">
        <v>29</v>
      </c>
      <c r="BZ49" s="36"/>
      <c r="CA49" s="36"/>
      <c r="CB49" s="34"/>
      <c r="CC49" s="32"/>
      <c r="CD49" s="148" t="str">
        <f t="shared" si="28"/>
        <v/>
      </c>
      <c r="CE49" s="148"/>
      <c r="CF49" s="98" t="str">
        <f t="shared" si="15"/>
        <v/>
      </c>
      <c r="CG49" s="7" t="str">
        <f t="shared" si="29"/>
        <v/>
      </c>
      <c r="CI49" s="6">
        <v>29</v>
      </c>
      <c r="CJ49" s="36"/>
      <c r="CK49" s="36"/>
      <c r="CL49" s="34"/>
      <c r="CM49" s="32"/>
      <c r="CN49" s="148" t="str">
        <f t="shared" si="34"/>
        <v/>
      </c>
      <c r="CO49" s="148"/>
      <c r="CP49" s="98" t="str">
        <f t="shared" si="16"/>
        <v/>
      </c>
      <c r="CQ49" s="7" t="str">
        <f t="shared" si="35"/>
        <v/>
      </c>
      <c r="CS49" s="6">
        <v>29</v>
      </c>
      <c r="CT49" s="36"/>
      <c r="CU49" s="36"/>
      <c r="CV49" s="34"/>
      <c r="CW49" s="32"/>
      <c r="CX49" s="148" t="str">
        <f t="shared" si="18"/>
        <v/>
      </c>
      <c r="CY49" s="148"/>
      <c r="CZ49" s="98" t="str">
        <f t="shared" si="19"/>
        <v/>
      </c>
      <c r="DA49" s="7" t="str">
        <f t="shared" si="20"/>
        <v/>
      </c>
      <c r="DC49" s="6">
        <v>29</v>
      </c>
      <c r="DD49" s="36"/>
      <c r="DE49" s="36"/>
      <c r="DF49" s="34"/>
      <c r="DG49" s="32"/>
      <c r="DH49" s="148" t="str">
        <f t="shared" si="21"/>
        <v/>
      </c>
      <c r="DI49" s="148"/>
      <c r="DJ49" s="98" t="str">
        <f t="shared" si="22"/>
        <v/>
      </c>
      <c r="DK49" s="7" t="str">
        <f t="shared" si="23"/>
        <v/>
      </c>
      <c r="DM49" s="6">
        <v>29</v>
      </c>
      <c r="DN49" s="36"/>
      <c r="DO49" s="36"/>
      <c r="DP49" s="34"/>
      <c r="DQ49" s="32"/>
      <c r="DR49" s="148" t="str">
        <f t="shared" si="24"/>
        <v/>
      </c>
      <c r="DS49" s="148"/>
      <c r="DT49" s="98" t="str">
        <f t="shared" si="25"/>
        <v/>
      </c>
      <c r="DU49" s="7" t="str">
        <f t="shared" si="26"/>
        <v/>
      </c>
    </row>
    <row r="50" spans="7:125" x14ac:dyDescent="0.2">
      <c r="G50" s="6">
        <v>30</v>
      </c>
      <c r="H50" s="36"/>
      <c r="I50" s="36"/>
      <c r="J50" s="34"/>
      <c r="K50" s="32"/>
      <c r="L50" s="148" t="str">
        <f t="shared" si="40"/>
        <v/>
      </c>
      <c r="M50" s="148"/>
      <c r="N50" s="98" t="str">
        <f t="shared" si="0"/>
        <v/>
      </c>
      <c r="O50" s="7" t="str">
        <f t="shared" si="46"/>
        <v/>
      </c>
      <c r="Q50" s="6">
        <v>30</v>
      </c>
      <c r="R50" s="36"/>
      <c r="S50" s="36"/>
      <c r="T50" s="34"/>
      <c r="U50" s="32"/>
      <c r="V50" s="148" t="str">
        <f t="shared" si="41"/>
        <v/>
      </c>
      <c r="W50" s="148"/>
      <c r="X50" s="98" t="str">
        <f t="shared" si="1"/>
        <v/>
      </c>
      <c r="Y50" s="7" t="str">
        <f t="shared" si="50"/>
        <v/>
      </c>
      <c r="AA50" s="6">
        <v>30</v>
      </c>
      <c r="AB50" s="36"/>
      <c r="AC50" s="36"/>
      <c r="AD50" s="34"/>
      <c r="AE50" s="32"/>
      <c r="AF50" s="148" t="str">
        <f t="shared" si="48"/>
        <v/>
      </c>
      <c r="AG50" s="148"/>
      <c r="AH50" s="98" t="str">
        <f t="shared" si="10"/>
        <v/>
      </c>
      <c r="AI50" s="7" t="str">
        <f t="shared" si="51"/>
        <v/>
      </c>
      <c r="AK50" s="6">
        <v>30</v>
      </c>
      <c r="AL50" s="36"/>
      <c r="AM50" s="36"/>
      <c r="AN50" s="34"/>
      <c r="AO50" s="32"/>
      <c r="AP50" s="148" t="str">
        <f t="shared" si="42"/>
        <v/>
      </c>
      <c r="AQ50" s="148"/>
      <c r="AR50" s="98" t="str">
        <f t="shared" si="11"/>
        <v/>
      </c>
      <c r="AS50" s="7" t="str">
        <f t="shared" si="43"/>
        <v/>
      </c>
      <c r="AU50" s="6">
        <v>30</v>
      </c>
      <c r="AV50" s="36"/>
      <c r="AW50" s="36"/>
      <c r="AX50" s="34"/>
      <c r="AY50" s="32"/>
      <c r="AZ50" s="148" t="str">
        <f t="shared" si="44"/>
        <v/>
      </c>
      <c r="BA50" s="148"/>
      <c r="BB50" s="98" t="str">
        <f t="shared" si="12"/>
        <v/>
      </c>
      <c r="BC50" s="7" t="str">
        <f t="shared" si="49"/>
        <v/>
      </c>
      <c r="BE50" s="6">
        <v>30</v>
      </c>
      <c r="BF50" s="36"/>
      <c r="BG50" s="36"/>
      <c r="BH50" s="34"/>
      <c r="BI50" s="32"/>
      <c r="BJ50" s="148" t="str">
        <f t="shared" si="52"/>
        <v/>
      </c>
      <c r="BK50" s="148"/>
      <c r="BL50" s="98" t="str">
        <f t="shared" si="13"/>
        <v/>
      </c>
      <c r="BM50" s="7" t="str">
        <f t="shared" si="53"/>
        <v/>
      </c>
      <c r="BO50" s="6">
        <v>30</v>
      </c>
      <c r="BP50" s="36"/>
      <c r="BQ50" s="36"/>
      <c r="BR50" s="34"/>
      <c r="BS50" s="32"/>
      <c r="BT50" s="148" t="str">
        <f t="shared" si="45"/>
        <v/>
      </c>
      <c r="BU50" s="148"/>
      <c r="BV50" s="98" t="str">
        <f t="shared" si="14"/>
        <v/>
      </c>
      <c r="BW50" s="7" t="str">
        <f t="shared" si="47"/>
        <v/>
      </c>
      <c r="BY50" s="6">
        <v>30</v>
      </c>
      <c r="BZ50" s="36"/>
      <c r="CA50" s="36"/>
      <c r="CB50" s="34"/>
      <c r="CC50" s="32"/>
      <c r="CD50" s="148" t="str">
        <f t="shared" si="28"/>
        <v/>
      </c>
      <c r="CE50" s="148"/>
      <c r="CF50" s="98" t="str">
        <f t="shared" si="15"/>
        <v/>
      </c>
      <c r="CG50" s="7" t="str">
        <f t="shared" si="29"/>
        <v/>
      </c>
      <c r="CI50" s="6">
        <v>30</v>
      </c>
      <c r="CJ50" s="36"/>
      <c r="CK50" s="36"/>
      <c r="CL50" s="34"/>
      <c r="CM50" s="32"/>
      <c r="CN50" s="148" t="str">
        <f t="shared" si="34"/>
        <v/>
      </c>
      <c r="CO50" s="148"/>
      <c r="CP50" s="98" t="str">
        <f t="shared" si="16"/>
        <v/>
      </c>
      <c r="CQ50" s="7" t="str">
        <f t="shared" si="35"/>
        <v/>
      </c>
      <c r="CS50" s="6">
        <v>30</v>
      </c>
      <c r="CT50" s="36"/>
      <c r="CU50" s="36"/>
      <c r="CV50" s="34"/>
      <c r="CW50" s="32"/>
      <c r="CX50" s="148" t="str">
        <f t="shared" si="18"/>
        <v/>
      </c>
      <c r="CY50" s="148"/>
      <c r="CZ50" s="98" t="str">
        <f t="shared" si="19"/>
        <v/>
      </c>
      <c r="DA50" s="7" t="str">
        <f t="shared" si="20"/>
        <v/>
      </c>
      <c r="DC50" s="6">
        <v>30</v>
      </c>
      <c r="DD50" s="36"/>
      <c r="DE50" s="36"/>
      <c r="DF50" s="34"/>
      <c r="DG50" s="32"/>
      <c r="DH50" s="148" t="str">
        <f t="shared" si="21"/>
        <v/>
      </c>
      <c r="DI50" s="148"/>
      <c r="DJ50" s="98" t="str">
        <f t="shared" si="22"/>
        <v/>
      </c>
      <c r="DK50" s="7" t="str">
        <f t="shared" si="23"/>
        <v/>
      </c>
      <c r="DM50" s="6">
        <v>30</v>
      </c>
      <c r="DN50" s="36"/>
      <c r="DO50" s="36"/>
      <c r="DP50" s="34"/>
      <c r="DQ50" s="32"/>
      <c r="DR50" s="148" t="str">
        <f t="shared" si="24"/>
        <v/>
      </c>
      <c r="DS50" s="148"/>
      <c r="DT50" s="98" t="str">
        <f t="shared" si="25"/>
        <v/>
      </c>
      <c r="DU50" s="7" t="str">
        <f t="shared" si="26"/>
        <v/>
      </c>
    </row>
    <row r="51" spans="7:125" x14ac:dyDescent="0.2">
      <c r="G51" s="6">
        <v>31</v>
      </c>
      <c r="H51" s="36"/>
      <c r="I51" s="36"/>
      <c r="J51" s="34"/>
      <c r="K51" s="32"/>
      <c r="L51" s="148" t="str">
        <f t="shared" si="40"/>
        <v/>
      </c>
      <c r="M51" s="148"/>
      <c r="N51" s="98" t="str">
        <f t="shared" si="0"/>
        <v/>
      </c>
      <c r="O51" s="7" t="str">
        <f t="shared" si="46"/>
        <v/>
      </c>
      <c r="Q51" s="6">
        <v>31</v>
      </c>
      <c r="R51" s="36"/>
      <c r="S51" s="36"/>
      <c r="T51" s="34"/>
      <c r="U51" s="32"/>
      <c r="V51" s="148" t="str">
        <f t="shared" si="41"/>
        <v/>
      </c>
      <c r="W51" s="148"/>
      <c r="X51" s="98" t="str">
        <f t="shared" si="1"/>
        <v/>
      </c>
      <c r="Y51" s="7" t="str">
        <f t="shared" si="50"/>
        <v/>
      </c>
      <c r="AA51" s="6">
        <v>31</v>
      </c>
      <c r="AB51" s="36"/>
      <c r="AC51" s="36"/>
      <c r="AD51" s="34"/>
      <c r="AE51" s="32"/>
      <c r="AF51" s="148" t="str">
        <f t="shared" si="48"/>
        <v/>
      </c>
      <c r="AG51" s="148"/>
      <c r="AH51" s="98" t="str">
        <f t="shared" si="10"/>
        <v/>
      </c>
      <c r="AI51" s="7" t="str">
        <f t="shared" si="51"/>
        <v/>
      </c>
      <c r="AK51" s="6">
        <v>31</v>
      </c>
      <c r="AL51" s="36"/>
      <c r="AM51" s="36"/>
      <c r="AN51" s="34"/>
      <c r="AO51" s="32"/>
      <c r="AP51" s="148" t="str">
        <f t="shared" si="42"/>
        <v/>
      </c>
      <c r="AQ51" s="148"/>
      <c r="AR51" s="98" t="str">
        <f t="shared" si="11"/>
        <v/>
      </c>
      <c r="AS51" s="7" t="str">
        <f t="shared" si="43"/>
        <v/>
      </c>
      <c r="AU51" s="6">
        <v>31</v>
      </c>
      <c r="AV51" s="36"/>
      <c r="AW51" s="36"/>
      <c r="AX51" s="34"/>
      <c r="AY51" s="32"/>
      <c r="AZ51" s="148" t="str">
        <f t="shared" si="44"/>
        <v/>
      </c>
      <c r="BA51" s="148"/>
      <c r="BB51" s="98" t="str">
        <f t="shared" si="12"/>
        <v/>
      </c>
      <c r="BC51" s="7" t="str">
        <f t="shared" si="49"/>
        <v/>
      </c>
      <c r="BE51" s="6">
        <v>31</v>
      </c>
      <c r="BF51" s="36"/>
      <c r="BG51" s="36"/>
      <c r="BH51" s="34"/>
      <c r="BI51" s="32"/>
      <c r="BJ51" s="148" t="str">
        <f t="shared" si="52"/>
        <v/>
      </c>
      <c r="BK51" s="148"/>
      <c r="BL51" s="98" t="str">
        <f t="shared" si="13"/>
        <v/>
      </c>
      <c r="BM51" s="7" t="str">
        <f t="shared" si="53"/>
        <v/>
      </c>
      <c r="BO51" s="6">
        <v>31</v>
      </c>
      <c r="BP51" s="36"/>
      <c r="BQ51" s="36"/>
      <c r="BR51" s="34"/>
      <c r="BS51" s="32"/>
      <c r="BT51" s="148" t="str">
        <f t="shared" si="45"/>
        <v/>
      </c>
      <c r="BU51" s="148"/>
      <c r="BV51" s="98" t="str">
        <f t="shared" si="14"/>
        <v/>
      </c>
      <c r="BW51" s="7" t="str">
        <f t="shared" si="47"/>
        <v/>
      </c>
      <c r="BY51" s="6">
        <v>31</v>
      </c>
      <c r="BZ51" s="36"/>
      <c r="CA51" s="36"/>
      <c r="CB51" s="34"/>
      <c r="CC51" s="32"/>
      <c r="CD51" s="148" t="str">
        <f t="shared" si="28"/>
        <v/>
      </c>
      <c r="CE51" s="148"/>
      <c r="CF51" s="98" t="str">
        <f t="shared" si="15"/>
        <v/>
      </c>
      <c r="CG51" s="7" t="str">
        <f t="shared" si="29"/>
        <v/>
      </c>
      <c r="CI51" s="6">
        <v>31</v>
      </c>
      <c r="CJ51" s="36"/>
      <c r="CK51" s="36"/>
      <c r="CL51" s="34"/>
      <c r="CM51" s="32"/>
      <c r="CN51" s="148" t="str">
        <f t="shared" si="34"/>
        <v/>
      </c>
      <c r="CO51" s="148"/>
      <c r="CP51" s="98" t="str">
        <f t="shared" si="16"/>
        <v/>
      </c>
      <c r="CQ51" s="7" t="str">
        <f t="shared" si="35"/>
        <v/>
      </c>
      <c r="CS51" s="6">
        <v>31</v>
      </c>
      <c r="CT51" s="36"/>
      <c r="CU51" s="36"/>
      <c r="CV51" s="34"/>
      <c r="CW51" s="32"/>
      <c r="CX51" s="148" t="str">
        <f t="shared" si="18"/>
        <v/>
      </c>
      <c r="CY51" s="148"/>
      <c r="CZ51" s="98" t="str">
        <f t="shared" si="19"/>
        <v/>
      </c>
      <c r="DA51" s="7" t="str">
        <f t="shared" si="20"/>
        <v/>
      </c>
      <c r="DC51" s="6">
        <v>31</v>
      </c>
      <c r="DD51" s="36"/>
      <c r="DE51" s="36"/>
      <c r="DF51" s="34"/>
      <c r="DG51" s="32"/>
      <c r="DH51" s="148" t="str">
        <f t="shared" si="21"/>
        <v/>
      </c>
      <c r="DI51" s="148"/>
      <c r="DJ51" s="98" t="str">
        <f t="shared" si="22"/>
        <v/>
      </c>
      <c r="DK51" s="7" t="str">
        <f t="shared" si="23"/>
        <v/>
      </c>
      <c r="DM51" s="6">
        <v>31</v>
      </c>
      <c r="DN51" s="36"/>
      <c r="DO51" s="36"/>
      <c r="DP51" s="34"/>
      <c r="DQ51" s="32"/>
      <c r="DR51" s="148" t="str">
        <f t="shared" si="24"/>
        <v/>
      </c>
      <c r="DS51" s="148"/>
      <c r="DT51" s="98" t="str">
        <f t="shared" si="25"/>
        <v/>
      </c>
      <c r="DU51" s="7" t="str">
        <f t="shared" si="26"/>
        <v/>
      </c>
    </row>
    <row r="52" spans="7:125" x14ac:dyDescent="0.2">
      <c r="G52" s="6">
        <v>32</v>
      </c>
      <c r="H52" s="36"/>
      <c r="I52" s="36"/>
      <c r="J52" s="34"/>
      <c r="K52" s="32"/>
      <c r="L52" s="148" t="str">
        <f t="shared" si="40"/>
        <v/>
      </c>
      <c r="M52" s="148"/>
      <c r="N52" s="98" t="str">
        <f t="shared" si="0"/>
        <v/>
      </c>
      <c r="O52" s="7" t="str">
        <f t="shared" si="46"/>
        <v/>
      </c>
      <c r="Q52" s="6">
        <v>32</v>
      </c>
      <c r="R52" s="36"/>
      <c r="S52" s="36"/>
      <c r="T52" s="34"/>
      <c r="U52" s="32"/>
      <c r="V52" s="148" t="str">
        <f t="shared" si="41"/>
        <v/>
      </c>
      <c r="W52" s="148"/>
      <c r="X52" s="98" t="str">
        <f t="shared" si="1"/>
        <v/>
      </c>
      <c r="Y52" s="7" t="str">
        <f t="shared" si="50"/>
        <v/>
      </c>
      <c r="AA52" s="6">
        <v>32</v>
      </c>
      <c r="AB52" s="36"/>
      <c r="AC52" s="36"/>
      <c r="AD52" s="34"/>
      <c r="AE52" s="32"/>
      <c r="AF52" s="148" t="str">
        <f t="shared" si="48"/>
        <v/>
      </c>
      <c r="AG52" s="148"/>
      <c r="AH52" s="98" t="str">
        <f t="shared" si="10"/>
        <v/>
      </c>
      <c r="AI52" s="7" t="str">
        <f t="shared" si="51"/>
        <v/>
      </c>
      <c r="AK52" s="6">
        <v>32</v>
      </c>
      <c r="AL52" s="36"/>
      <c r="AM52" s="36"/>
      <c r="AN52" s="34"/>
      <c r="AO52" s="32"/>
      <c r="AP52" s="148" t="str">
        <f t="shared" si="42"/>
        <v/>
      </c>
      <c r="AQ52" s="148"/>
      <c r="AR52" s="98" t="str">
        <f t="shared" si="11"/>
        <v/>
      </c>
      <c r="AS52" s="7" t="str">
        <f t="shared" si="43"/>
        <v/>
      </c>
      <c r="AU52" s="6">
        <v>32</v>
      </c>
      <c r="AV52" s="36"/>
      <c r="AW52" s="36"/>
      <c r="AX52" s="34"/>
      <c r="AY52" s="32"/>
      <c r="AZ52" s="148" t="str">
        <f t="shared" si="44"/>
        <v/>
      </c>
      <c r="BA52" s="148"/>
      <c r="BB52" s="98" t="str">
        <f t="shared" si="12"/>
        <v/>
      </c>
      <c r="BC52" s="7" t="str">
        <f t="shared" si="49"/>
        <v/>
      </c>
      <c r="BE52" s="6">
        <v>32</v>
      </c>
      <c r="BF52" s="36"/>
      <c r="BG52" s="36"/>
      <c r="BH52" s="34"/>
      <c r="BI52" s="32"/>
      <c r="BJ52" s="148" t="str">
        <f t="shared" si="52"/>
        <v/>
      </c>
      <c r="BK52" s="148"/>
      <c r="BL52" s="98" t="str">
        <f t="shared" si="13"/>
        <v/>
      </c>
      <c r="BM52" s="7" t="str">
        <f t="shared" si="53"/>
        <v/>
      </c>
      <c r="BO52" s="6">
        <v>32</v>
      </c>
      <c r="BP52" s="36"/>
      <c r="BQ52" s="36"/>
      <c r="BR52" s="34"/>
      <c r="BS52" s="32"/>
      <c r="BT52" s="148" t="str">
        <f t="shared" si="45"/>
        <v/>
      </c>
      <c r="BU52" s="148"/>
      <c r="BV52" s="98" t="str">
        <f t="shared" si="14"/>
        <v/>
      </c>
      <c r="BW52" s="7" t="str">
        <f t="shared" si="47"/>
        <v/>
      </c>
      <c r="BY52" s="6">
        <v>32</v>
      </c>
      <c r="BZ52" s="36"/>
      <c r="CA52" s="36"/>
      <c r="CB52" s="34"/>
      <c r="CC52" s="32"/>
      <c r="CD52" s="148" t="str">
        <f t="shared" si="28"/>
        <v/>
      </c>
      <c r="CE52" s="148"/>
      <c r="CF52" s="98" t="str">
        <f t="shared" si="15"/>
        <v/>
      </c>
      <c r="CG52" s="7" t="str">
        <f t="shared" si="29"/>
        <v/>
      </c>
      <c r="CI52" s="6">
        <v>32</v>
      </c>
      <c r="CJ52" s="36"/>
      <c r="CK52" s="36"/>
      <c r="CL52" s="34"/>
      <c r="CM52" s="32"/>
      <c r="CN52" s="148" t="str">
        <f t="shared" si="34"/>
        <v/>
      </c>
      <c r="CO52" s="148"/>
      <c r="CP52" s="98" t="str">
        <f t="shared" si="16"/>
        <v/>
      </c>
      <c r="CQ52" s="7" t="str">
        <f t="shared" si="35"/>
        <v/>
      </c>
      <c r="CS52" s="6">
        <v>32</v>
      </c>
      <c r="CT52" s="36"/>
      <c r="CU52" s="36"/>
      <c r="CV52" s="34"/>
      <c r="CW52" s="32"/>
      <c r="CX52" s="148" t="str">
        <f t="shared" si="18"/>
        <v/>
      </c>
      <c r="CY52" s="148"/>
      <c r="CZ52" s="98" t="str">
        <f t="shared" si="19"/>
        <v/>
      </c>
      <c r="DA52" s="7" t="str">
        <f t="shared" si="20"/>
        <v/>
      </c>
      <c r="DC52" s="6">
        <v>32</v>
      </c>
      <c r="DD52" s="36"/>
      <c r="DE52" s="36"/>
      <c r="DF52" s="34"/>
      <c r="DG52" s="32"/>
      <c r="DH52" s="148" t="str">
        <f t="shared" si="21"/>
        <v/>
      </c>
      <c r="DI52" s="148"/>
      <c r="DJ52" s="98" t="str">
        <f t="shared" si="22"/>
        <v/>
      </c>
      <c r="DK52" s="7" t="str">
        <f t="shared" si="23"/>
        <v/>
      </c>
      <c r="DM52" s="6">
        <v>32</v>
      </c>
      <c r="DN52" s="36"/>
      <c r="DO52" s="36"/>
      <c r="DP52" s="34"/>
      <c r="DQ52" s="32"/>
      <c r="DR52" s="148" t="str">
        <f t="shared" si="24"/>
        <v/>
      </c>
      <c r="DS52" s="148"/>
      <c r="DT52" s="98" t="str">
        <f t="shared" si="25"/>
        <v/>
      </c>
      <c r="DU52" s="7" t="str">
        <f t="shared" si="26"/>
        <v/>
      </c>
    </row>
    <row r="53" spans="7:125" x14ac:dyDescent="0.2">
      <c r="G53" s="6">
        <v>33</v>
      </c>
      <c r="H53" s="36"/>
      <c r="I53" s="36"/>
      <c r="J53" s="34"/>
      <c r="K53" s="32"/>
      <c r="L53" s="148" t="str">
        <f t="shared" si="40"/>
        <v/>
      </c>
      <c r="M53" s="148"/>
      <c r="N53" s="98" t="str">
        <f t="shared" si="0"/>
        <v/>
      </c>
      <c r="O53" s="7" t="str">
        <f t="shared" si="46"/>
        <v/>
      </c>
      <c r="Q53" s="6">
        <v>33</v>
      </c>
      <c r="R53" s="36"/>
      <c r="S53" s="36"/>
      <c r="T53" s="34"/>
      <c r="U53" s="32"/>
      <c r="V53" s="148" t="str">
        <f t="shared" si="41"/>
        <v/>
      </c>
      <c r="W53" s="148"/>
      <c r="X53" s="98" t="str">
        <f t="shared" si="1"/>
        <v/>
      </c>
      <c r="Y53" s="7" t="str">
        <f t="shared" si="50"/>
        <v/>
      </c>
      <c r="AA53" s="6">
        <v>33</v>
      </c>
      <c r="AB53" s="36"/>
      <c r="AC53" s="36"/>
      <c r="AD53" s="34"/>
      <c r="AE53" s="32"/>
      <c r="AF53" s="148" t="str">
        <f t="shared" si="48"/>
        <v/>
      </c>
      <c r="AG53" s="148"/>
      <c r="AH53" s="98" t="str">
        <f t="shared" si="10"/>
        <v/>
      </c>
      <c r="AI53" s="7" t="str">
        <f t="shared" si="51"/>
        <v/>
      </c>
      <c r="AK53" s="6">
        <v>33</v>
      </c>
      <c r="AL53" s="36"/>
      <c r="AM53" s="36"/>
      <c r="AN53" s="34"/>
      <c r="AO53" s="32"/>
      <c r="AP53" s="148" t="str">
        <f t="shared" si="42"/>
        <v/>
      </c>
      <c r="AQ53" s="148"/>
      <c r="AR53" s="98" t="str">
        <f t="shared" si="11"/>
        <v/>
      </c>
      <c r="AS53" s="7" t="str">
        <f t="shared" si="43"/>
        <v/>
      </c>
      <c r="AU53" s="6">
        <v>33</v>
      </c>
      <c r="AV53" s="36"/>
      <c r="AW53" s="36"/>
      <c r="AX53" s="34"/>
      <c r="AY53" s="32"/>
      <c r="AZ53" s="148" t="str">
        <f t="shared" si="44"/>
        <v/>
      </c>
      <c r="BA53" s="148"/>
      <c r="BB53" s="98" t="str">
        <f t="shared" si="12"/>
        <v/>
      </c>
      <c r="BC53" s="7" t="str">
        <f t="shared" si="49"/>
        <v/>
      </c>
      <c r="BE53" s="6">
        <v>33</v>
      </c>
      <c r="BF53" s="36"/>
      <c r="BG53" s="36"/>
      <c r="BH53" s="34"/>
      <c r="BI53" s="32"/>
      <c r="BJ53" s="148" t="str">
        <f t="shared" si="52"/>
        <v/>
      </c>
      <c r="BK53" s="148"/>
      <c r="BL53" s="98" t="str">
        <f t="shared" si="13"/>
        <v/>
      </c>
      <c r="BM53" s="7" t="str">
        <f t="shared" si="53"/>
        <v/>
      </c>
      <c r="BO53" s="6">
        <v>33</v>
      </c>
      <c r="BP53" s="36"/>
      <c r="BQ53" s="36"/>
      <c r="BR53" s="34"/>
      <c r="BS53" s="32"/>
      <c r="BT53" s="148" t="str">
        <f t="shared" si="45"/>
        <v/>
      </c>
      <c r="BU53" s="148"/>
      <c r="BV53" s="98" t="str">
        <f t="shared" si="14"/>
        <v/>
      </c>
      <c r="BW53" s="7" t="str">
        <f t="shared" si="47"/>
        <v/>
      </c>
      <c r="BY53" s="6">
        <v>33</v>
      </c>
      <c r="BZ53" s="36"/>
      <c r="CA53" s="36"/>
      <c r="CB53" s="34"/>
      <c r="CC53" s="32"/>
      <c r="CD53" s="148" t="str">
        <f t="shared" si="28"/>
        <v/>
      </c>
      <c r="CE53" s="148"/>
      <c r="CF53" s="98" t="str">
        <f t="shared" si="15"/>
        <v/>
      </c>
      <c r="CG53" s="7" t="str">
        <f t="shared" si="29"/>
        <v/>
      </c>
      <c r="CI53" s="6">
        <v>33</v>
      </c>
      <c r="CJ53" s="36"/>
      <c r="CK53" s="36"/>
      <c r="CL53" s="34"/>
      <c r="CM53" s="32"/>
      <c r="CN53" s="148" t="str">
        <f t="shared" si="34"/>
        <v/>
      </c>
      <c r="CO53" s="148"/>
      <c r="CP53" s="98" t="str">
        <f t="shared" si="16"/>
        <v/>
      </c>
      <c r="CQ53" s="7" t="str">
        <f t="shared" si="35"/>
        <v/>
      </c>
      <c r="CS53" s="6">
        <v>33</v>
      </c>
      <c r="CT53" s="36"/>
      <c r="CU53" s="36"/>
      <c r="CV53" s="34"/>
      <c r="CW53" s="32"/>
      <c r="CX53" s="148" t="str">
        <f t="shared" si="18"/>
        <v/>
      </c>
      <c r="CY53" s="148"/>
      <c r="CZ53" s="98" t="str">
        <f t="shared" si="19"/>
        <v/>
      </c>
      <c r="DA53" s="7" t="str">
        <f t="shared" si="20"/>
        <v/>
      </c>
      <c r="DC53" s="6">
        <v>33</v>
      </c>
      <c r="DD53" s="36"/>
      <c r="DE53" s="36"/>
      <c r="DF53" s="34"/>
      <c r="DG53" s="32"/>
      <c r="DH53" s="148" t="str">
        <f t="shared" si="21"/>
        <v/>
      </c>
      <c r="DI53" s="148"/>
      <c r="DJ53" s="98" t="str">
        <f t="shared" si="22"/>
        <v/>
      </c>
      <c r="DK53" s="7" t="str">
        <f t="shared" si="23"/>
        <v/>
      </c>
      <c r="DM53" s="6">
        <v>33</v>
      </c>
      <c r="DN53" s="36"/>
      <c r="DO53" s="36"/>
      <c r="DP53" s="34"/>
      <c r="DQ53" s="32"/>
      <c r="DR53" s="148" t="str">
        <f t="shared" si="24"/>
        <v/>
      </c>
      <c r="DS53" s="148"/>
      <c r="DT53" s="98" t="str">
        <f t="shared" si="25"/>
        <v/>
      </c>
      <c r="DU53" s="7" t="str">
        <f t="shared" si="26"/>
        <v/>
      </c>
    </row>
    <row r="54" spans="7:125" x14ac:dyDescent="0.2">
      <c r="G54" s="6">
        <v>34</v>
      </c>
      <c r="H54" s="36"/>
      <c r="I54" s="36"/>
      <c r="J54" s="34"/>
      <c r="K54" s="32"/>
      <c r="L54" s="148" t="str">
        <f t="shared" si="40"/>
        <v/>
      </c>
      <c r="M54" s="148"/>
      <c r="N54" s="98" t="str">
        <f t="shared" si="0"/>
        <v/>
      </c>
      <c r="O54" s="7" t="str">
        <f t="shared" si="46"/>
        <v/>
      </c>
      <c r="Q54" s="6">
        <v>34</v>
      </c>
      <c r="R54" s="36"/>
      <c r="S54" s="36"/>
      <c r="T54" s="34"/>
      <c r="U54" s="32"/>
      <c r="V54" s="148" t="str">
        <f t="shared" si="41"/>
        <v/>
      </c>
      <c r="W54" s="148"/>
      <c r="X54" s="98" t="str">
        <f t="shared" si="1"/>
        <v/>
      </c>
      <c r="Y54" s="7" t="str">
        <f t="shared" si="50"/>
        <v/>
      </c>
      <c r="AA54" s="6">
        <v>34</v>
      </c>
      <c r="AB54" s="36"/>
      <c r="AC54" s="36"/>
      <c r="AD54" s="34"/>
      <c r="AE54" s="32"/>
      <c r="AF54" s="148" t="str">
        <f t="shared" si="48"/>
        <v/>
      </c>
      <c r="AG54" s="148"/>
      <c r="AH54" s="98" t="str">
        <f t="shared" si="10"/>
        <v/>
      </c>
      <c r="AI54" s="7" t="str">
        <f t="shared" si="51"/>
        <v/>
      </c>
      <c r="AK54" s="6">
        <v>34</v>
      </c>
      <c r="AL54" s="36"/>
      <c r="AM54" s="36"/>
      <c r="AN54" s="34"/>
      <c r="AO54" s="32"/>
      <c r="AP54" s="148" t="str">
        <f t="shared" si="42"/>
        <v/>
      </c>
      <c r="AQ54" s="148"/>
      <c r="AR54" s="98" t="str">
        <f t="shared" si="11"/>
        <v/>
      </c>
      <c r="AS54" s="7" t="str">
        <f t="shared" si="43"/>
        <v/>
      </c>
      <c r="AU54" s="6">
        <v>34</v>
      </c>
      <c r="AV54" s="36"/>
      <c r="AW54" s="36"/>
      <c r="AX54" s="34"/>
      <c r="AY54" s="32"/>
      <c r="AZ54" s="148" t="str">
        <f t="shared" si="44"/>
        <v/>
      </c>
      <c r="BA54" s="148"/>
      <c r="BB54" s="98" t="str">
        <f t="shared" si="12"/>
        <v/>
      </c>
      <c r="BC54" s="7" t="str">
        <f t="shared" si="49"/>
        <v/>
      </c>
      <c r="BE54" s="6">
        <v>34</v>
      </c>
      <c r="BF54" s="36"/>
      <c r="BG54" s="36"/>
      <c r="BH54" s="34"/>
      <c r="BI54" s="32"/>
      <c r="BJ54" s="148" t="str">
        <f t="shared" si="52"/>
        <v/>
      </c>
      <c r="BK54" s="148"/>
      <c r="BL54" s="98" t="str">
        <f t="shared" si="13"/>
        <v/>
      </c>
      <c r="BM54" s="7" t="str">
        <f t="shared" si="53"/>
        <v/>
      </c>
      <c r="BO54" s="6">
        <v>34</v>
      </c>
      <c r="BP54" s="36"/>
      <c r="BQ54" s="36"/>
      <c r="BR54" s="34"/>
      <c r="BS54" s="32"/>
      <c r="BT54" s="148" t="str">
        <f t="shared" si="45"/>
        <v/>
      </c>
      <c r="BU54" s="148"/>
      <c r="BV54" s="98" t="str">
        <f t="shared" si="14"/>
        <v/>
      </c>
      <c r="BW54" s="7" t="str">
        <f t="shared" si="47"/>
        <v/>
      </c>
      <c r="BY54" s="6">
        <v>34</v>
      </c>
      <c r="BZ54" s="36"/>
      <c r="CA54" s="36"/>
      <c r="CB54" s="34"/>
      <c r="CC54" s="32"/>
      <c r="CD54" s="148" t="str">
        <f t="shared" si="28"/>
        <v/>
      </c>
      <c r="CE54" s="148"/>
      <c r="CF54" s="98" t="str">
        <f t="shared" si="15"/>
        <v/>
      </c>
      <c r="CG54" s="7" t="str">
        <f t="shared" si="29"/>
        <v/>
      </c>
      <c r="CI54" s="6">
        <v>34</v>
      </c>
      <c r="CJ54" s="36"/>
      <c r="CK54" s="36"/>
      <c r="CL54" s="34"/>
      <c r="CM54" s="32"/>
      <c r="CN54" s="148" t="str">
        <f t="shared" si="34"/>
        <v/>
      </c>
      <c r="CO54" s="148"/>
      <c r="CP54" s="98" t="str">
        <f t="shared" si="16"/>
        <v/>
      </c>
      <c r="CQ54" s="7" t="str">
        <f t="shared" si="35"/>
        <v/>
      </c>
      <c r="CS54" s="6">
        <v>34</v>
      </c>
      <c r="CT54" s="36"/>
      <c r="CU54" s="36"/>
      <c r="CV54" s="34"/>
      <c r="CW54" s="32"/>
      <c r="CX54" s="148" t="str">
        <f t="shared" si="18"/>
        <v/>
      </c>
      <c r="CY54" s="148"/>
      <c r="CZ54" s="98" t="str">
        <f t="shared" si="19"/>
        <v/>
      </c>
      <c r="DA54" s="7" t="str">
        <f t="shared" si="20"/>
        <v/>
      </c>
      <c r="DC54" s="6">
        <v>34</v>
      </c>
      <c r="DD54" s="36"/>
      <c r="DE54" s="36"/>
      <c r="DF54" s="34"/>
      <c r="DG54" s="32"/>
      <c r="DH54" s="148" t="str">
        <f t="shared" si="21"/>
        <v/>
      </c>
      <c r="DI54" s="148"/>
      <c r="DJ54" s="98" t="str">
        <f t="shared" si="22"/>
        <v/>
      </c>
      <c r="DK54" s="7" t="str">
        <f t="shared" si="23"/>
        <v/>
      </c>
      <c r="DM54" s="6">
        <v>34</v>
      </c>
      <c r="DN54" s="36"/>
      <c r="DO54" s="36"/>
      <c r="DP54" s="34"/>
      <c r="DQ54" s="32"/>
      <c r="DR54" s="148" t="str">
        <f t="shared" si="24"/>
        <v/>
      </c>
      <c r="DS54" s="148"/>
      <c r="DT54" s="98" t="str">
        <f t="shared" si="25"/>
        <v/>
      </c>
      <c r="DU54" s="7" t="str">
        <f t="shared" si="26"/>
        <v/>
      </c>
    </row>
    <row r="55" spans="7:125" x14ac:dyDescent="0.2">
      <c r="G55" s="6">
        <v>35</v>
      </c>
      <c r="H55" s="36"/>
      <c r="I55" s="36"/>
      <c r="J55" s="34"/>
      <c r="K55" s="32"/>
      <c r="L55" s="148" t="str">
        <f t="shared" si="40"/>
        <v/>
      </c>
      <c r="M55" s="148"/>
      <c r="N55" s="98" t="str">
        <f t="shared" si="0"/>
        <v/>
      </c>
      <c r="O55" s="7" t="str">
        <f t="shared" si="46"/>
        <v/>
      </c>
      <c r="Q55" s="6">
        <v>35</v>
      </c>
      <c r="R55" s="36"/>
      <c r="S55" s="36"/>
      <c r="T55" s="34"/>
      <c r="U55" s="32"/>
      <c r="V55" s="148" t="str">
        <f t="shared" si="41"/>
        <v/>
      </c>
      <c r="W55" s="148"/>
      <c r="X55" s="98" t="str">
        <f t="shared" si="1"/>
        <v/>
      </c>
      <c r="Y55" s="7" t="str">
        <f t="shared" si="50"/>
        <v/>
      </c>
      <c r="AA55" s="6">
        <v>35</v>
      </c>
      <c r="AB55" s="36"/>
      <c r="AC55" s="36"/>
      <c r="AD55" s="34"/>
      <c r="AE55" s="32"/>
      <c r="AF55" s="148" t="str">
        <f t="shared" si="48"/>
        <v/>
      </c>
      <c r="AG55" s="148"/>
      <c r="AH55" s="98" t="str">
        <f t="shared" si="10"/>
        <v/>
      </c>
      <c r="AI55" s="7" t="str">
        <f t="shared" si="51"/>
        <v/>
      </c>
      <c r="AK55" s="6">
        <v>35</v>
      </c>
      <c r="AL55" s="36"/>
      <c r="AM55" s="36"/>
      <c r="AN55" s="34"/>
      <c r="AO55" s="32"/>
      <c r="AP55" s="148" t="str">
        <f t="shared" si="42"/>
        <v/>
      </c>
      <c r="AQ55" s="148"/>
      <c r="AR55" s="98" t="str">
        <f t="shared" si="11"/>
        <v/>
      </c>
      <c r="AS55" s="7" t="str">
        <f t="shared" si="43"/>
        <v/>
      </c>
      <c r="AU55" s="6">
        <v>35</v>
      </c>
      <c r="AV55" s="36"/>
      <c r="AW55" s="36"/>
      <c r="AX55" s="34"/>
      <c r="AY55" s="32"/>
      <c r="AZ55" s="148" t="str">
        <f t="shared" si="44"/>
        <v/>
      </c>
      <c r="BA55" s="148"/>
      <c r="BB55" s="98" t="str">
        <f t="shared" si="12"/>
        <v/>
      </c>
      <c r="BC55" s="7" t="str">
        <f t="shared" si="49"/>
        <v/>
      </c>
      <c r="BE55" s="6">
        <v>35</v>
      </c>
      <c r="BF55" s="36"/>
      <c r="BG55" s="36"/>
      <c r="BH55" s="34"/>
      <c r="BI55" s="32"/>
      <c r="BJ55" s="148" t="str">
        <f t="shared" si="52"/>
        <v/>
      </c>
      <c r="BK55" s="148"/>
      <c r="BL55" s="98" t="str">
        <f t="shared" si="13"/>
        <v/>
      </c>
      <c r="BM55" s="7" t="str">
        <f t="shared" si="53"/>
        <v/>
      </c>
      <c r="BO55" s="6">
        <v>35</v>
      </c>
      <c r="BP55" s="36"/>
      <c r="BQ55" s="36"/>
      <c r="BR55" s="34"/>
      <c r="BS55" s="32"/>
      <c r="BT55" s="148" t="str">
        <f t="shared" si="45"/>
        <v/>
      </c>
      <c r="BU55" s="148"/>
      <c r="BV55" s="98" t="str">
        <f t="shared" si="14"/>
        <v/>
      </c>
      <c r="BW55" s="7" t="str">
        <f t="shared" si="47"/>
        <v/>
      </c>
      <c r="BY55" s="6">
        <v>35</v>
      </c>
      <c r="BZ55" s="36"/>
      <c r="CA55" s="36"/>
      <c r="CB55" s="34"/>
      <c r="CC55" s="32"/>
      <c r="CD55" s="148" t="str">
        <f t="shared" si="28"/>
        <v/>
      </c>
      <c r="CE55" s="148"/>
      <c r="CF55" s="98" t="str">
        <f t="shared" si="15"/>
        <v/>
      </c>
      <c r="CG55" s="7" t="str">
        <f t="shared" si="29"/>
        <v/>
      </c>
      <c r="CI55" s="6">
        <v>35</v>
      </c>
      <c r="CJ55" s="36"/>
      <c r="CK55" s="36"/>
      <c r="CL55" s="34"/>
      <c r="CM55" s="32"/>
      <c r="CN55" s="148" t="str">
        <f t="shared" si="34"/>
        <v/>
      </c>
      <c r="CO55" s="148"/>
      <c r="CP55" s="98" t="str">
        <f t="shared" si="16"/>
        <v/>
      </c>
      <c r="CQ55" s="7" t="str">
        <f t="shared" si="35"/>
        <v/>
      </c>
      <c r="CS55" s="6">
        <v>35</v>
      </c>
      <c r="CT55" s="36"/>
      <c r="CU55" s="36"/>
      <c r="CV55" s="34"/>
      <c r="CW55" s="32"/>
      <c r="CX55" s="148" t="str">
        <f t="shared" si="18"/>
        <v/>
      </c>
      <c r="CY55" s="148"/>
      <c r="CZ55" s="98" t="str">
        <f t="shared" si="19"/>
        <v/>
      </c>
      <c r="DA55" s="7" t="str">
        <f t="shared" si="20"/>
        <v/>
      </c>
      <c r="DC55" s="6">
        <v>35</v>
      </c>
      <c r="DD55" s="36"/>
      <c r="DE55" s="36"/>
      <c r="DF55" s="34"/>
      <c r="DG55" s="32"/>
      <c r="DH55" s="148" t="str">
        <f t="shared" si="21"/>
        <v/>
      </c>
      <c r="DI55" s="148"/>
      <c r="DJ55" s="98" t="str">
        <f t="shared" si="22"/>
        <v/>
      </c>
      <c r="DK55" s="7" t="str">
        <f t="shared" si="23"/>
        <v/>
      </c>
      <c r="DM55" s="6">
        <v>35</v>
      </c>
      <c r="DN55" s="36"/>
      <c r="DO55" s="36"/>
      <c r="DP55" s="34"/>
      <c r="DQ55" s="32"/>
      <c r="DR55" s="148" t="str">
        <f t="shared" si="24"/>
        <v/>
      </c>
      <c r="DS55" s="148"/>
      <c r="DT55" s="98" t="str">
        <f t="shared" si="25"/>
        <v/>
      </c>
      <c r="DU55" s="7" t="str">
        <f t="shared" si="26"/>
        <v/>
      </c>
    </row>
    <row r="56" spans="7:125" x14ac:dyDescent="0.2">
      <c r="G56" s="6">
        <v>36</v>
      </c>
      <c r="H56" s="36"/>
      <c r="I56" s="36"/>
      <c r="J56" s="34"/>
      <c r="K56" s="32"/>
      <c r="L56" s="148" t="str">
        <f t="shared" si="40"/>
        <v/>
      </c>
      <c r="M56" s="148"/>
      <c r="N56" s="98" t="str">
        <f t="shared" si="0"/>
        <v/>
      </c>
      <c r="O56" s="7" t="str">
        <f t="shared" si="46"/>
        <v/>
      </c>
      <c r="Q56" s="6">
        <v>36</v>
      </c>
      <c r="R56" s="36"/>
      <c r="S56" s="36"/>
      <c r="T56" s="34"/>
      <c r="U56" s="32"/>
      <c r="V56" s="148" t="str">
        <f t="shared" si="41"/>
        <v/>
      </c>
      <c r="W56" s="148"/>
      <c r="X56" s="98" t="str">
        <f t="shared" si="1"/>
        <v/>
      </c>
      <c r="Y56" s="7" t="str">
        <f t="shared" si="50"/>
        <v/>
      </c>
      <c r="AA56" s="6">
        <v>36</v>
      </c>
      <c r="AB56" s="36"/>
      <c r="AC56" s="36"/>
      <c r="AD56" s="34"/>
      <c r="AE56" s="32"/>
      <c r="AF56" s="148" t="str">
        <f t="shared" si="48"/>
        <v/>
      </c>
      <c r="AG56" s="148"/>
      <c r="AH56" s="98" t="str">
        <f t="shared" si="10"/>
        <v/>
      </c>
      <c r="AI56" s="7" t="str">
        <f t="shared" si="51"/>
        <v/>
      </c>
      <c r="AK56" s="6">
        <v>36</v>
      </c>
      <c r="AL56" s="36"/>
      <c r="AM56" s="36"/>
      <c r="AN56" s="34"/>
      <c r="AO56" s="32"/>
      <c r="AP56" s="148" t="str">
        <f t="shared" si="42"/>
        <v/>
      </c>
      <c r="AQ56" s="148"/>
      <c r="AR56" s="98" t="str">
        <f t="shared" si="11"/>
        <v/>
      </c>
      <c r="AS56" s="7" t="str">
        <f t="shared" si="43"/>
        <v/>
      </c>
      <c r="AU56" s="6">
        <v>36</v>
      </c>
      <c r="AV56" s="36"/>
      <c r="AW56" s="36"/>
      <c r="AX56" s="34"/>
      <c r="AY56" s="32"/>
      <c r="AZ56" s="148" t="str">
        <f t="shared" si="44"/>
        <v/>
      </c>
      <c r="BA56" s="148"/>
      <c r="BB56" s="98" t="str">
        <f t="shared" si="12"/>
        <v/>
      </c>
      <c r="BC56" s="7" t="str">
        <f t="shared" si="49"/>
        <v/>
      </c>
      <c r="BE56" s="6">
        <v>36</v>
      </c>
      <c r="BF56" s="36"/>
      <c r="BG56" s="36"/>
      <c r="BH56" s="34"/>
      <c r="BI56" s="32"/>
      <c r="BJ56" s="148" t="str">
        <f t="shared" si="52"/>
        <v/>
      </c>
      <c r="BK56" s="148"/>
      <c r="BL56" s="98" t="str">
        <f t="shared" si="13"/>
        <v/>
      </c>
      <c r="BM56" s="7" t="str">
        <f t="shared" si="53"/>
        <v/>
      </c>
      <c r="BO56" s="6">
        <v>36</v>
      </c>
      <c r="BP56" s="36"/>
      <c r="BQ56" s="36"/>
      <c r="BR56" s="34"/>
      <c r="BS56" s="32"/>
      <c r="BT56" s="148" t="str">
        <f t="shared" si="45"/>
        <v/>
      </c>
      <c r="BU56" s="148"/>
      <c r="BV56" s="98" t="str">
        <f t="shared" si="14"/>
        <v/>
      </c>
      <c r="BW56" s="7" t="str">
        <f t="shared" si="47"/>
        <v/>
      </c>
      <c r="BY56" s="6">
        <v>36</v>
      </c>
      <c r="BZ56" s="36"/>
      <c r="CA56" s="36"/>
      <c r="CB56" s="34"/>
      <c r="CC56" s="32"/>
      <c r="CD56" s="148" t="str">
        <f t="shared" si="28"/>
        <v/>
      </c>
      <c r="CE56" s="148"/>
      <c r="CF56" s="98" t="str">
        <f t="shared" si="15"/>
        <v/>
      </c>
      <c r="CG56" s="7" t="str">
        <f t="shared" si="29"/>
        <v/>
      </c>
      <c r="CI56" s="6">
        <v>36</v>
      </c>
      <c r="CJ56" s="36"/>
      <c r="CK56" s="36"/>
      <c r="CL56" s="34"/>
      <c r="CM56" s="32"/>
      <c r="CN56" s="148" t="str">
        <f t="shared" si="34"/>
        <v/>
      </c>
      <c r="CO56" s="148"/>
      <c r="CP56" s="98" t="str">
        <f t="shared" si="16"/>
        <v/>
      </c>
      <c r="CQ56" s="7" t="str">
        <f t="shared" si="35"/>
        <v/>
      </c>
      <c r="CS56" s="6">
        <v>36</v>
      </c>
      <c r="CT56" s="36"/>
      <c r="CU56" s="36"/>
      <c r="CV56" s="34"/>
      <c r="CW56" s="32"/>
      <c r="CX56" s="148" t="str">
        <f t="shared" si="18"/>
        <v/>
      </c>
      <c r="CY56" s="148"/>
      <c r="CZ56" s="98" t="str">
        <f t="shared" si="19"/>
        <v/>
      </c>
      <c r="DA56" s="7" t="str">
        <f t="shared" si="20"/>
        <v/>
      </c>
      <c r="DC56" s="6">
        <v>36</v>
      </c>
      <c r="DD56" s="36"/>
      <c r="DE56" s="36"/>
      <c r="DF56" s="34"/>
      <c r="DG56" s="32"/>
      <c r="DH56" s="148" t="str">
        <f t="shared" si="21"/>
        <v/>
      </c>
      <c r="DI56" s="148"/>
      <c r="DJ56" s="98" t="str">
        <f t="shared" si="22"/>
        <v/>
      </c>
      <c r="DK56" s="7" t="str">
        <f t="shared" si="23"/>
        <v/>
      </c>
      <c r="DM56" s="6">
        <v>36</v>
      </c>
      <c r="DN56" s="36"/>
      <c r="DO56" s="36"/>
      <c r="DP56" s="34"/>
      <c r="DQ56" s="32"/>
      <c r="DR56" s="148" t="str">
        <f t="shared" si="24"/>
        <v/>
      </c>
      <c r="DS56" s="148"/>
      <c r="DT56" s="98" t="str">
        <f t="shared" si="25"/>
        <v/>
      </c>
      <c r="DU56" s="7" t="str">
        <f t="shared" si="26"/>
        <v/>
      </c>
    </row>
    <row r="57" spans="7:125" x14ac:dyDescent="0.2">
      <c r="G57" s="6">
        <v>37</v>
      </c>
      <c r="H57" s="36"/>
      <c r="I57" s="36"/>
      <c r="J57" s="34"/>
      <c r="K57" s="32"/>
      <c r="L57" s="148" t="str">
        <f t="shared" si="40"/>
        <v/>
      </c>
      <c r="M57" s="148"/>
      <c r="N57" s="98" t="str">
        <f t="shared" si="0"/>
        <v/>
      </c>
      <c r="O57" s="7" t="str">
        <f t="shared" si="46"/>
        <v/>
      </c>
      <c r="Q57" s="6">
        <v>37</v>
      </c>
      <c r="R57" s="36"/>
      <c r="S57" s="36"/>
      <c r="T57" s="34"/>
      <c r="U57" s="32"/>
      <c r="V57" s="148" t="str">
        <f t="shared" si="41"/>
        <v/>
      </c>
      <c r="W57" s="148"/>
      <c r="X57" s="98" t="str">
        <f t="shared" si="1"/>
        <v/>
      </c>
      <c r="Y57" s="7" t="str">
        <f t="shared" si="50"/>
        <v/>
      </c>
      <c r="AA57" s="6">
        <v>37</v>
      </c>
      <c r="AB57" s="36"/>
      <c r="AC57" s="36"/>
      <c r="AD57" s="34"/>
      <c r="AE57" s="32"/>
      <c r="AF57" s="148" t="str">
        <f t="shared" si="48"/>
        <v/>
      </c>
      <c r="AG57" s="148"/>
      <c r="AH57" s="98" t="str">
        <f t="shared" si="10"/>
        <v/>
      </c>
      <c r="AI57" s="7" t="str">
        <f t="shared" si="51"/>
        <v/>
      </c>
      <c r="AK57" s="6">
        <v>37</v>
      </c>
      <c r="AL57" s="36"/>
      <c r="AM57" s="36"/>
      <c r="AN57" s="34"/>
      <c r="AO57" s="32"/>
      <c r="AP57" s="148" t="str">
        <f t="shared" si="42"/>
        <v/>
      </c>
      <c r="AQ57" s="148"/>
      <c r="AR57" s="98" t="str">
        <f t="shared" si="11"/>
        <v/>
      </c>
      <c r="AS57" s="7" t="str">
        <f t="shared" si="43"/>
        <v/>
      </c>
      <c r="AU57" s="6">
        <v>37</v>
      </c>
      <c r="AV57" s="36"/>
      <c r="AW57" s="36"/>
      <c r="AX57" s="34"/>
      <c r="AY57" s="32"/>
      <c r="AZ57" s="148" t="str">
        <f t="shared" si="44"/>
        <v/>
      </c>
      <c r="BA57" s="148"/>
      <c r="BB57" s="98" t="str">
        <f t="shared" si="12"/>
        <v/>
      </c>
      <c r="BC57" s="7" t="str">
        <f t="shared" si="49"/>
        <v/>
      </c>
      <c r="BE57" s="6">
        <v>37</v>
      </c>
      <c r="BF57" s="36"/>
      <c r="BG57" s="36"/>
      <c r="BH57" s="34"/>
      <c r="BI57" s="32"/>
      <c r="BJ57" s="148" t="str">
        <f t="shared" si="52"/>
        <v/>
      </c>
      <c r="BK57" s="148"/>
      <c r="BL57" s="98" t="str">
        <f t="shared" si="13"/>
        <v/>
      </c>
      <c r="BM57" s="7" t="str">
        <f t="shared" si="53"/>
        <v/>
      </c>
      <c r="BO57" s="6">
        <v>37</v>
      </c>
      <c r="BP57" s="36"/>
      <c r="BQ57" s="36"/>
      <c r="BR57" s="34"/>
      <c r="BS57" s="32"/>
      <c r="BT57" s="148" t="str">
        <f t="shared" si="45"/>
        <v/>
      </c>
      <c r="BU57" s="148"/>
      <c r="BV57" s="98" t="str">
        <f t="shared" si="14"/>
        <v/>
      </c>
      <c r="BW57" s="7" t="str">
        <f t="shared" si="47"/>
        <v/>
      </c>
      <c r="BY57" s="6">
        <v>37</v>
      </c>
      <c r="BZ57" s="36"/>
      <c r="CA57" s="36"/>
      <c r="CB57" s="34"/>
      <c r="CC57" s="32"/>
      <c r="CD57" s="148" t="str">
        <f t="shared" si="28"/>
        <v/>
      </c>
      <c r="CE57" s="148"/>
      <c r="CF57" s="98" t="str">
        <f t="shared" si="15"/>
        <v/>
      </c>
      <c r="CG57" s="7" t="str">
        <f t="shared" si="29"/>
        <v/>
      </c>
      <c r="CI57" s="6">
        <v>37</v>
      </c>
      <c r="CJ57" s="36"/>
      <c r="CK57" s="36"/>
      <c r="CL57" s="34"/>
      <c r="CM57" s="32"/>
      <c r="CN57" s="148" t="str">
        <f t="shared" si="34"/>
        <v/>
      </c>
      <c r="CO57" s="148"/>
      <c r="CP57" s="98" t="str">
        <f t="shared" si="16"/>
        <v/>
      </c>
      <c r="CQ57" s="7" t="str">
        <f t="shared" si="35"/>
        <v/>
      </c>
      <c r="CS57" s="6">
        <v>37</v>
      </c>
      <c r="CT57" s="36"/>
      <c r="CU57" s="36"/>
      <c r="CV57" s="34"/>
      <c r="CW57" s="32"/>
      <c r="CX57" s="148" t="str">
        <f t="shared" si="18"/>
        <v/>
      </c>
      <c r="CY57" s="148"/>
      <c r="CZ57" s="98" t="str">
        <f t="shared" si="19"/>
        <v/>
      </c>
      <c r="DA57" s="7" t="str">
        <f t="shared" si="20"/>
        <v/>
      </c>
      <c r="DC57" s="6">
        <v>37</v>
      </c>
      <c r="DD57" s="36"/>
      <c r="DE57" s="36"/>
      <c r="DF57" s="34"/>
      <c r="DG57" s="32"/>
      <c r="DH57" s="148" t="str">
        <f t="shared" si="21"/>
        <v/>
      </c>
      <c r="DI57" s="148"/>
      <c r="DJ57" s="98" t="str">
        <f t="shared" si="22"/>
        <v/>
      </c>
      <c r="DK57" s="7" t="str">
        <f t="shared" si="23"/>
        <v/>
      </c>
      <c r="DM57" s="6">
        <v>37</v>
      </c>
      <c r="DN57" s="36"/>
      <c r="DO57" s="36"/>
      <c r="DP57" s="34"/>
      <c r="DQ57" s="32"/>
      <c r="DR57" s="148" t="str">
        <f t="shared" si="24"/>
        <v/>
      </c>
      <c r="DS57" s="148"/>
      <c r="DT57" s="98" t="str">
        <f t="shared" si="25"/>
        <v/>
      </c>
      <c r="DU57" s="7" t="str">
        <f t="shared" si="26"/>
        <v/>
      </c>
    </row>
    <row r="58" spans="7:125" x14ac:dyDescent="0.2">
      <c r="G58" s="6">
        <v>38</v>
      </c>
      <c r="H58" s="36"/>
      <c r="I58" s="36"/>
      <c r="J58" s="34"/>
      <c r="K58" s="32"/>
      <c r="L58" s="148" t="str">
        <f t="shared" si="40"/>
        <v/>
      </c>
      <c r="M58" s="148"/>
      <c r="N58" s="98" t="str">
        <f t="shared" si="0"/>
        <v/>
      </c>
      <c r="O58" s="7" t="str">
        <f t="shared" si="46"/>
        <v/>
      </c>
      <c r="Q58" s="6">
        <v>38</v>
      </c>
      <c r="R58" s="36"/>
      <c r="S58" s="36"/>
      <c r="T58" s="34"/>
      <c r="U58" s="32"/>
      <c r="V58" s="148" t="str">
        <f t="shared" si="41"/>
        <v/>
      </c>
      <c r="W58" s="148"/>
      <c r="X58" s="98" t="str">
        <f t="shared" si="1"/>
        <v/>
      </c>
      <c r="Y58" s="7" t="str">
        <f t="shared" si="50"/>
        <v/>
      </c>
      <c r="AA58" s="6">
        <v>38</v>
      </c>
      <c r="AB58" s="36"/>
      <c r="AC58" s="36"/>
      <c r="AD58" s="34"/>
      <c r="AE58" s="32"/>
      <c r="AF58" s="148" t="str">
        <f t="shared" si="48"/>
        <v/>
      </c>
      <c r="AG58" s="148"/>
      <c r="AH58" s="98" t="str">
        <f t="shared" si="10"/>
        <v/>
      </c>
      <c r="AI58" s="7" t="str">
        <f t="shared" si="51"/>
        <v/>
      </c>
      <c r="AK58" s="6">
        <v>38</v>
      </c>
      <c r="AL58" s="36"/>
      <c r="AM58" s="36"/>
      <c r="AN58" s="34"/>
      <c r="AO58" s="32"/>
      <c r="AP58" s="148" t="str">
        <f t="shared" si="42"/>
        <v/>
      </c>
      <c r="AQ58" s="148"/>
      <c r="AR58" s="98" t="str">
        <f t="shared" si="11"/>
        <v/>
      </c>
      <c r="AS58" s="7" t="str">
        <f t="shared" si="43"/>
        <v/>
      </c>
      <c r="AU58" s="6">
        <v>38</v>
      </c>
      <c r="AV58" s="36"/>
      <c r="AW58" s="36"/>
      <c r="AX58" s="34"/>
      <c r="AY58" s="32"/>
      <c r="AZ58" s="148" t="str">
        <f t="shared" si="44"/>
        <v/>
      </c>
      <c r="BA58" s="148"/>
      <c r="BB58" s="98" t="str">
        <f t="shared" si="12"/>
        <v/>
      </c>
      <c r="BC58" s="7" t="str">
        <f t="shared" si="49"/>
        <v/>
      </c>
      <c r="BE58" s="6">
        <v>38</v>
      </c>
      <c r="BF58" s="36"/>
      <c r="BG58" s="36"/>
      <c r="BH58" s="34"/>
      <c r="BI58" s="32"/>
      <c r="BJ58" s="148" t="str">
        <f t="shared" si="52"/>
        <v/>
      </c>
      <c r="BK58" s="148"/>
      <c r="BL58" s="98" t="str">
        <f t="shared" si="13"/>
        <v/>
      </c>
      <c r="BM58" s="7" t="str">
        <f t="shared" si="53"/>
        <v/>
      </c>
      <c r="BO58" s="6">
        <v>38</v>
      </c>
      <c r="BP58" s="36"/>
      <c r="BQ58" s="36"/>
      <c r="BR58" s="34"/>
      <c r="BS58" s="32"/>
      <c r="BT58" s="148" t="str">
        <f t="shared" si="45"/>
        <v/>
      </c>
      <c r="BU58" s="148"/>
      <c r="BV58" s="98" t="str">
        <f t="shared" si="14"/>
        <v/>
      </c>
      <c r="BW58" s="7" t="str">
        <f t="shared" si="47"/>
        <v/>
      </c>
      <c r="BY58" s="6">
        <v>38</v>
      </c>
      <c r="BZ58" s="36"/>
      <c r="CA58" s="36"/>
      <c r="CB58" s="34"/>
      <c r="CC58" s="32"/>
      <c r="CD58" s="148" t="str">
        <f t="shared" si="28"/>
        <v/>
      </c>
      <c r="CE58" s="148"/>
      <c r="CF58" s="98" t="str">
        <f t="shared" si="15"/>
        <v/>
      </c>
      <c r="CG58" s="7" t="str">
        <f t="shared" si="29"/>
        <v/>
      </c>
      <c r="CI58" s="6">
        <v>38</v>
      </c>
      <c r="CJ58" s="36"/>
      <c r="CK58" s="36"/>
      <c r="CL58" s="34"/>
      <c r="CM58" s="32"/>
      <c r="CN58" s="148" t="str">
        <f t="shared" si="34"/>
        <v/>
      </c>
      <c r="CO58" s="148"/>
      <c r="CP58" s="98" t="str">
        <f t="shared" si="16"/>
        <v/>
      </c>
      <c r="CQ58" s="7" t="str">
        <f t="shared" si="35"/>
        <v/>
      </c>
      <c r="CS58" s="6">
        <v>38</v>
      </c>
      <c r="CT58" s="36"/>
      <c r="CU58" s="36"/>
      <c r="CV58" s="34"/>
      <c r="CW58" s="32"/>
      <c r="CX58" s="148" t="str">
        <f t="shared" si="18"/>
        <v/>
      </c>
      <c r="CY58" s="148"/>
      <c r="CZ58" s="98" t="str">
        <f t="shared" si="19"/>
        <v/>
      </c>
      <c r="DA58" s="7" t="str">
        <f t="shared" si="20"/>
        <v/>
      </c>
      <c r="DC58" s="6">
        <v>38</v>
      </c>
      <c r="DD58" s="36"/>
      <c r="DE58" s="36"/>
      <c r="DF58" s="34"/>
      <c r="DG58" s="32"/>
      <c r="DH58" s="148" t="str">
        <f t="shared" si="21"/>
        <v/>
      </c>
      <c r="DI58" s="148"/>
      <c r="DJ58" s="98" t="str">
        <f t="shared" si="22"/>
        <v/>
      </c>
      <c r="DK58" s="7" t="str">
        <f t="shared" si="23"/>
        <v/>
      </c>
      <c r="DM58" s="6">
        <v>38</v>
      </c>
      <c r="DN58" s="36"/>
      <c r="DO58" s="36"/>
      <c r="DP58" s="34"/>
      <c r="DQ58" s="32"/>
      <c r="DR58" s="148" t="str">
        <f t="shared" si="24"/>
        <v/>
      </c>
      <c r="DS58" s="148"/>
      <c r="DT58" s="98" t="str">
        <f t="shared" si="25"/>
        <v/>
      </c>
      <c r="DU58" s="7" t="str">
        <f t="shared" si="26"/>
        <v/>
      </c>
    </row>
    <row r="59" spans="7:125" x14ac:dyDescent="0.2">
      <c r="G59" s="6">
        <v>39</v>
      </c>
      <c r="H59" s="36"/>
      <c r="I59" s="36"/>
      <c r="J59" s="34"/>
      <c r="K59" s="32"/>
      <c r="L59" s="148" t="str">
        <f t="shared" si="40"/>
        <v/>
      </c>
      <c r="M59" s="148"/>
      <c r="N59" s="98" t="str">
        <f t="shared" si="0"/>
        <v/>
      </c>
      <c r="O59" s="7" t="str">
        <f t="shared" si="46"/>
        <v/>
      </c>
      <c r="Q59" s="6">
        <v>39</v>
      </c>
      <c r="R59" s="36"/>
      <c r="S59" s="36"/>
      <c r="T59" s="34"/>
      <c r="U59" s="32"/>
      <c r="V59" s="148" t="str">
        <f t="shared" si="41"/>
        <v/>
      </c>
      <c r="W59" s="148"/>
      <c r="X59" s="98" t="str">
        <f t="shared" si="1"/>
        <v/>
      </c>
      <c r="Y59" s="7" t="str">
        <f t="shared" si="50"/>
        <v/>
      </c>
      <c r="AA59" s="6">
        <v>39</v>
      </c>
      <c r="AB59" s="36"/>
      <c r="AC59" s="36"/>
      <c r="AD59" s="34"/>
      <c r="AE59" s="32"/>
      <c r="AF59" s="148" t="str">
        <f t="shared" si="48"/>
        <v/>
      </c>
      <c r="AG59" s="148"/>
      <c r="AH59" s="98" t="str">
        <f t="shared" si="10"/>
        <v/>
      </c>
      <c r="AI59" s="7" t="str">
        <f t="shared" si="51"/>
        <v/>
      </c>
      <c r="AK59" s="6">
        <v>39</v>
      </c>
      <c r="AL59" s="36"/>
      <c r="AM59" s="36"/>
      <c r="AN59" s="34"/>
      <c r="AO59" s="32"/>
      <c r="AP59" s="148" t="str">
        <f t="shared" si="42"/>
        <v/>
      </c>
      <c r="AQ59" s="148"/>
      <c r="AR59" s="98" t="str">
        <f t="shared" si="11"/>
        <v/>
      </c>
      <c r="AS59" s="7" t="str">
        <f t="shared" si="43"/>
        <v/>
      </c>
      <c r="AU59" s="6">
        <v>39</v>
      </c>
      <c r="AV59" s="36"/>
      <c r="AW59" s="36"/>
      <c r="AX59" s="34"/>
      <c r="AY59" s="32"/>
      <c r="AZ59" s="148" t="str">
        <f t="shared" si="44"/>
        <v/>
      </c>
      <c r="BA59" s="148"/>
      <c r="BB59" s="98" t="str">
        <f t="shared" si="12"/>
        <v/>
      </c>
      <c r="BC59" s="7" t="str">
        <f t="shared" si="49"/>
        <v/>
      </c>
      <c r="BE59" s="6">
        <v>39</v>
      </c>
      <c r="BF59" s="36"/>
      <c r="BG59" s="36"/>
      <c r="BH59" s="34"/>
      <c r="BI59" s="32"/>
      <c r="BJ59" s="148" t="str">
        <f t="shared" si="52"/>
        <v/>
      </c>
      <c r="BK59" s="148"/>
      <c r="BL59" s="98" t="str">
        <f t="shared" si="13"/>
        <v/>
      </c>
      <c r="BM59" s="7" t="str">
        <f t="shared" si="53"/>
        <v/>
      </c>
      <c r="BO59" s="6">
        <v>39</v>
      </c>
      <c r="BP59" s="36"/>
      <c r="BQ59" s="36"/>
      <c r="BR59" s="34"/>
      <c r="BS59" s="32"/>
      <c r="BT59" s="148" t="str">
        <f t="shared" si="45"/>
        <v/>
      </c>
      <c r="BU59" s="148"/>
      <c r="BV59" s="98" t="str">
        <f t="shared" si="14"/>
        <v/>
      </c>
      <c r="BW59" s="7" t="str">
        <f t="shared" si="47"/>
        <v/>
      </c>
      <c r="BY59" s="6">
        <v>39</v>
      </c>
      <c r="BZ59" s="36"/>
      <c r="CA59" s="36"/>
      <c r="CB59" s="34"/>
      <c r="CC59" s="32"/>
      <c r="CD59" s="148" t="str">
        <f t="shared" si="28"/>
        <v/>
      </c>
      <c r="CE59" s="148"/>
      <c r="CF59" s="98" t="str">
        <f t="shared" si="15"/>
        <v/>
      </c>
      <c r="CG59" s="7" t="str">
        <f t="shared" si="29"/>
        <v/>
      </c>
      <c r="CI59" s="6">
        <v>39</v>
      </c>
      <c r="CJ59" s="36"/>
      <c r="CK59" s="36"/>
      <c r="CL59" s="34"/>
      <c r="CM59" s="32"/>
      <c r="CN59" s="148" t="str">
        <f t="shared" si="34"/>
        <v/>
      </c>
      <c r="CO59" s="148"/>
      <c r="CP59" s="98" t="str">
        <f t="shared" si="16"/>
        <v/>
      </c>
      <c r="CQ59" s="7" t="str">
        <f t="shared" si="35"/>
        <v/>
      </c>
      <c r="CS59" s="6">
        <v>39</v>
      </c>
      <c r="CT59" s="36"/>
      <c r="CU59" s="36"/>
      <c r="CV59" s="34"/>
      <c r="CW59" s="32"/>
      <c r="CX59" s="148" t="str">
        <f t="shared" si="18"/>
        <v/>
      </c>
      <c r="CY59" s="148"/>
      <c r="CZ59" s="98" t="str">
        <f t="shared" si="19"/>
        <v/>
      </c>
      <c r="DA59" s="7" t="str">
        <f t="shared" si="20"/>
        <v/>
      </c>
      <c r="DC59" s="6">
        <v>39</v>
      </c>
      <c r="DD59" s="36"/>
      <c r="DE59" s="36"/>
      <c r="DF59" s="34"/>
      <c r="DG59" s="32"/>
      <c r="DH59" s="148" t="str">
        <f t="shared" si="21"/>
        <v/>
      </c>
      <c r="DI59" s="148"/>
      <c r="DJ59" s="98" t="str">
        <f t="shared" si="22"/>
        <v/>
      </c>
      <c r="DK59" s="7" t="str">
        <f t="shared" si="23"/>
        <v/>
      </c>
      <c r="DM59" s="6">
        <v>39</v>
      </c>
      <c r="DN59" s="36"/>
      <c r="DO59" s="36"/>
      <c r="DP59" s="34"/>
      <c r="DQ59" s="32"/>
      <c r="DR59" s="148" t="str">
        <f t="shared" si="24"/>
        <v/>
      </c>
      <c r="DS59" s="148"/>
      <c r="DT59" s="98" t="str">
        <f t="shared" si="25"/>
        <v/>
      </c>
      <c r="DU59" s="7" t="str">
        <f t="shared" si="26"/>
        <v/>
      </c>
    </row>
    <row r="60" spans="7:125" x14ac:dyDescent="0.2">
      <c r="G60" s="105">
        <v>40</v>
      </c>
      <c r="H60" s="95"/>
      <c r="I60" s="95"/>
      <c r="J60" s="35"/>
      <c r="K60" s="33"/>
      <c r="L60" s="149" t="str">
        <f t="shared" si="40"/>
        <v/>
      </c>
      <c r="M60" s="149"/>
      <c r="N60" s="100" t="str">
        <f t="shared" si="0"/>
        <v/>
      </c>
      <c r="O60" s="8" t="str">
        <f t="shared" si="46"/>
        <v/>
      </c>
      <c r="Q60" s="105">
        <v>40</v>
      </c>
      <c r="R60" s="95"/>
      <c r="S60" s="95"/>
      <c r="T60" s="35"/>
      <c r="U60" s="33"/>
      <c r="V60" s="149" t="str">
        <f t="shared" si="41"/>
        <v/>
      </c>
      <c r="W60" s="149"/>
      <c r="X60" s="100" t="str">
        <f t="shared" si="1"/>
        <v/>
      </c>
      <c r="Y60" s="8" t="str">
        <f t="shared" si="50"/>
        <v/>
      </c>
      <c r="AA60" s="105">
        <v>40</v>
      </c>
      <c r="AB60" s="95"/>
      <c r="AC60" s="95"/>
      <c r="AD60" s="35"/>
      <c r="AE60" s="33"/>
      <c r="AF60" s="149" t="str">
        <f t="shared" si="48"/>
        <v/>
      </c>
      <c r="AG60" s="149"/>
      <c r="AH60" s="100" t="str">
        <f t="shared" si="10"/>
        <v/>
      </c>
      <c r="AI60" s="8" t="str">
        <f t="shared" si="51"/>
        <v/>
      </c>
      <c r="AK60" s="105">
        <v>40</v>
      </c>
      <c r="AL60" s="95"/>
      <c r="AM60" s="95"/>
      <c r="AN60" s="35"/>
      <c r="AO60" s="33"/>
      <c r="AP60" s="149" t="str">
        <f t="shared" si="42"/>
        <v/>
      </c>
      <c r="AQ60" s="149"/>
      <c r="AR60" s="100" t="str">
        <f t="shared" si="11"/>
        <v/>
      </c>
      <c r="AS60" s="8" t="str">
        <f t="shared" si="43"/>
        <v/>
      </c>
      <c r="AU60" s="105">
        <v>40</v>
      </c>
      <c r="AV60" s="95"/>
      <c r="AW60" s="95"/>
      <c r="AX60" s="35"/>
      <c r="AY60" s="33"/>
      <c r="AZ60" s="149" t="str">
        <f t="shared" si="44"/>
        <v/>
      </c>
      <c r="BA60" s="149"/>
      <c r="BB60" s="100" t="str">
        <f t="shared" si="12"/>
        <v/>
      </c>
      <c r="BC60" s="8" t="str">
        <f t="shared" si="49"/>
        <v/>
      </c>
      <c r="BE60" s="105">
        <v>40</v>
      </c>
      <c r="BF60" s="95"/>
      <c r="BG60" s="95"/>
      <c r="BH60" s="35"/>
      <c r="BI60" s="33"/>
      <c r="BJ60" s="149" t="str">
        <f t="shared" si="52"/>
        <v/>
      </c>
      <c r="BK60" s="149"/>
      <c r="BL60" s="100" t="str">
        <f t="shared" si="13"/>
        <v/>
      </c>
      <c r="BM60" s="8" t="str">
        <f t="shared" si="53"/>
        <v/>
      </c>
      <c r="BO60" s="105">
        <v>40</v>
      </c>
      <c r="BP60" s="95"/>
      <c r="BQ60" s="95"/>
      <c r="BR60" s="35"/>
      <c r="BS60" s="33"/>
      <c r="BT60" s="149" t="str">
        <f t="shared" si="45"/>
        <v/>
      </c>
      <c r="BU60" s="149"/>
      <c r="BV60" s="100" t="str">
        <f t="shared" si="14"/>
        <v/>
      </c>
      <c r="BW60" s="8" t="str">
        <f t="shared" si="47"/>
        <v/>
      </c>
      <c r="BY60" s="105">
        <v>40</v>
      </c>
      <c r="BZ60" s="95"/>
      <c r="CA60" s="95"/>
      <c r="CB60" s="35"/>
      <c r="CC60" s="33"/>
      <c r="CD60" s="149" t="str">
        <f t="shared" si="28"/>
        <v/>
      </c>
      <c r="CE60" s="149"/>
      <c r="CF60" s="100" t="str">
        <f t="shared" si="15"/>
        <v/>
      </c>
      <c r="CG60" s="8" t="str">
        <f t="shared" si="29"/>
        <v/>
      </c>
      <c r="CI60" s="105">
        <v>40</v>
      </c>
      <c r="CJ60" s="95"/>
      <c r="CK60" s="95"/>
      <c r="CL60" s="35"/>
      <c r="CM60" s="33"/>
      <c r="CN60" s="149" t="str">
        <f t="shared" si="34"/>
        <v/>
      </c>
      <c r="CO60" s="149"/>
      <c r="CP60" s="100" t="str">
        <f t="shared" si="16"/>
        <v/>
      </c>
      <c r="CQ60" s="8" t="str">
        <f t="shared" si="35"/>
        <v/>
      </c>
      <c r="CS60" s="105">
        <v>40</v>
      </c>
      <c r="CT60" s="95"/>
      <c r="CU60" s="95"/>
      <c r="CV60" s="35"/>
      <c r="CW60" s="33"/>
      <c r="CX60" s="149" t="str">
        <f t="shared" si="18"/>
        <v/>
      </c>
      <c r="CY60" s="149"/>
      <c r="CZ60" s="100" t="str">
        <f t="shared" si="19"/>
        <v/>
      </c>
      <c r="DA60" s="8" t="str">
        <f t="shared" si="20"/>
        <v/>
      </c>
      <c r="DC60" s="105">
        <v>40</v>
      </c>
      <c r="DD60" s="95"/>
      <c r="DE60" s="95"/>
      <c r="DF60" s="35"/>
      <c r="DG60" s="33"/>
      <c r="DH60" s="149" t="str">
        <f t="shared" si="21"/>
        <v/>
      </c>
      <c r="DI60" s="149"/>
      <c r="DJ60" s="100" t="str">
        <f t="shared" si="22"/>
        <v/>
      </c>
      <c r="DK60" s="8" t="str">
        <f t="shared" si="23"/>
        <v/>
      </c>
      <c r="DM60" s="105">
        <v>40</v>
      </c>
      <c r="DN60" s="95"/>
      <c r="DO60" s="95"/>
      <c r="DP60" s="35"/>
      <c r="DQ60" s="33"/>
      <c r="DR60" s="149" t="str">
        <f t="shared" si="24"/>
        <v/>
      </c>
      <c r="DS60" s="149"/>
      <c r="DT60" s="100" t="str">
        <f t="shared" si="25"/>
        <v/>
      </c>
      <c r="DU60" s="8" t="str">
        <f t="shared" si="26"/>
        <v/>
      </c>
    </row>
  </sheetData>
  <mergeCells count="818"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</mergeCells>
  <phoneticPr fontId="1"/>
  <dataValidations count="4">
    <dataValidation type="list" allowBlank="1" showInputMessage="1" showErrorMessage="1" sqref="B6" xr:uid="{00000000-0002-0000-0000-000000000000}">
      <formula1>"ドライ,ウェット"</formula1>
    </dataValidation>
    <dataValidation type="list" allowBlank="1" showInputMessage="1" sqref="DO1:DU1 I1:O1 S1:Y1 AC1:AI1 AM1:AS1 AW1:BC1 BG1:BM1 BQ1:BW1 CA1:CG1 CK1:CQ1 CU1:DA1 DE1:DK1" xr:uid="{00000000-0002-0000-0000-000001000000}">
      <formula1>$A$7:$A$10</formula1>
    </dataValidation>
    <dataValidation type="list" sqref="DO21:DO60 BG21:BG60 BQ21:BQ60 CK21:CK60 AM21:AM60 AC21:AC60 I21:I60 CA21:CA60 S21:S60 CU21:CU60 DE21:DE60 AW44:AW60 AW21:AW42" xr:uid="{00000000-0002-0000-0000-000002000000}">
      <formula1>"D,W,SC,EX1,EX2"</formula1>
    </dataValidation>
    <dataValidation type="list" sqref="BF21:BF60 AB21:AB60 AL21:AL60 DN21:DN60 R36:R60 BP21:BP60 BZ21:BZ60 CJ21:CJ60 CT21:CT60 DD21:DD60 H21:H60 R21:R34 AV44:AV60 AV21:AV42" xr:uid="{00000000-0002-0000-00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heet16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184150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HG60"/>
  <sheetViews>
    <sheetView tabSelected="1" zoomScale="70" zoomScaleNormal="70" workbookViewId="0">
      <pane xSplit="6" ySplit="17" topLeftCell="I18" activePane="bottomRight" state="frozen"/>
      <selection pane="topRight" activeCell="G1" sqref="G1"/>
      <selection pane="bottomLeft" activeCell="A18" sqref="A18"/>
      <selection pane="bottomRight" activeCell="I41" sqref="I41"/>
    </sheetView>
  </sheetViews>
  <sheetFormatPr defaultRowHeight="13" x14ac:dyDescent="0.2"/>
  <cols>
    <col min="1" max="1" width="16" customWidth="1"/>
    <col min="3" max="3" width="4.6328125" bestFit="1" customWidth="1"/>
    <col min="4" max="4" width="10.08984375" bestFit="1" customWidth="1"/>
    <col min="5" max="5" width="3.90625" bestFit="1" customWidth="1"/>
    <col min="6" max="6" width="1.81640625" customWidth="1"/>
    <col min="7" max="7" width="4.90625" style="25" bestFit="1" customWidth="1"/>
    <col min="8" max="8" width="8.6328125" style="25" customWidth="1"/>
    <col min="9" max="9" width="9.08984375" style="25" customWidth="1"/>
    <col min="10" max="10" width="3.54296875" style="25" bestFit="1" customWidth="1"/>
    <col min="11" max="11" width="9" style="25" customWidth="1"/>
    <col min="12" max="12" width="3.54296875" style="25" bestFit="1" customWidth="1"/>
    <col min="13" max="13" width="9.1796875" style="25" customWidth="1"/>
    <col min="14" max="14" width="8.36328125" style="25" bestFit="1" customWidth="1"/>
    <col min="15" max="15" width="10.6328125" style="25" bestFit="1" customWidth="1"/>
    <col min="16" max="16" width="2.1796875" customWidth="1"/>
    <col min="17" max="17" width="4.90625" bestFit="1" customWidth="1"/>
    <col min="20" max="20" width="3.81640625" bestFit="1" customWidth="1"/>
    <col min="21" max="21" width="9.6328125" customWidth="1"/>
    <col min="22" max="22" width="3.54296875" bestFit="1" customWidth="1"/>
    <col min="24" max="24" width="8.36328125" bestFit="1" customWidth="1"/>
    <col min="25" max="25" width="10.6328125" bestFit="1" customWidth="1"/>
    <col min="26" max="26" width="1.54296875" customWidth="1"/>
    <col min="27" max="27" width="4.90625" bestFit="1" customWidth="1"/>
    <col min="30" max="30" width="3.54296875" bestFit="1" customWidth="1"/>
    <col min="31" max="31" width="9.453125" bestFit="1" customWidth="1"/>
    <col min="32" max="32" width="3.54296875" bestFit="1" customWidth="1"/>
    <col min="35" max="35" width="11.08984375" customWidth="1"/>
    <col min="36" max="36" width="4.90625" style="3" customWidth="1"/>
    <col min="37" max="37" width="4.90625" bestFit="1" customWidth="1"/>
    <col min="40" max="40" width="3.54296875" bestFit="1" customWidth="1"/>
    <col min="41" max="41" width="9.453125" bestFit="1" customWidth="1"/>
    <col min="42" max="42" width="3.54296875" bestFit="1" customWidth="1"/>
    <col min="46" max="46" width="4.1796875" customWidth="1"/>
    <col min="47" max="47" width="4.90625" bestFit="1" customWidth="1"/>
    <col min="50" max="50" width="3.81640625" bestFit="1" customWidth="1"/>
    <col min="51" max="51" width="9.453125" bestFit="1" customWidth="1"/>
    <col min="52" max="52" width="3.54296875" bestFit="1" customWidth="1"/>
    <col min="56" max="56" width="4" style="3" customWidth="1"/>
    <col min="57" max="57" width="4.90625" bestFit="1" customWidth="1"/>
    <col min="60" max="60" width="3.54296875" bestFit="1" customWidth="1"/>
    <col min="61" max="61" width="9.453125" bestFit="1" customWidth="1"/>
    <col min="62" max="62" width="3.54296875" bestFit="1" customWidth="1"/>
    <col min="66" max="66" width="2.08984375" customWidth="1"/>
    <col min="67" max="67" width="4.90625" bestFit="1" customWidth="1"/>
    <col min="70" max="70" width="3.54296875" bestFit="1" customWidth="1"/>
    <col min="71" max="71" width="9.453125" bestFit="1" customWidth="1"/>
    <col min="72" max="72" width="3.54296875" bestFit="1" customWidth="1"/>
    <col min="76" max="76" width="2.08984375" customWidth="1"/>
    <col min="77" max="77" width="4.90625" bestFit="1" customWidth="1"/>
    <col min="80" max="80" width="3.54296875" bestFit="1" customWidth="1"/>
    <col min="81" max="81" width="9.453125" bestFit="1" customWidth="1"/>
    <col min="82" max="82" width="3.54296875" bestFit="1" customWidth="1"/>
    <col min="86" max="86" width="2.54296875" customWidth="1"/>
    <col min="87" max="87" width="4.90625" bestFit="1" customWidth="1"/>
    <col min="90" max="90" width="3.54296875" bestFit="1" customWidth="1"/>
    <col min="92" max="92" width="3.54296875" bestFit="1" customWidth="1"/>
    <col min="96" max="96" width="5.90625" customWidth="1"/>
    <col min="97" max="97" width="4.90625" bestFit="1" customWidth="1"/>
    <col min="100" max="100" width="3.54296875" bestFit="1" customWidth="1"/>
    <col min="102" max="102" width="3.54296875" bestFit="1" customWidth="1"/>
    <col min="106" max="106" width="2.6328125" customWidth="1"/>
    <col min="107" max="107" width="4.90625" bestFit="1" customWidth="1"/>
    <col min="110" max="110" width="3.54296875" bestFit="1" customWidth="1"/>
    <col min="112" max="112" width="3.54296875" bestFit="1" customWidth="1"/>
    <col min="116" max="116" width="1.36328125" customWidth="1"/>
    <col min="117" max="117" width="4.90625" bestFit="1" customWidth="1"/>
    <col min="120" max="120" width="3.54296875" bestFit="1" customWidth="1"/>
    <col min="122" max="122" width="3.54296875" bestFit="1" customWidth="1"/>
  </cols>
  <sheetData>
    <row r="1" spans="1:215" ht="24" customHeight="1" x14ac:dyDescent="0.2">
      <c r="A1" s="102" t="s">
        <v>50</v>
      </c>
      <c r="B1" s="73">
        <v>162</v>
      </c>
      <c r="C1" s="54" t="s">
        <v>11</v>
      </c>
      <c r="D1" s="123"/>
      <c r="E1" s="124"/>
      <c r="G1" s="121">
        <v>1</v>
      </c>
      <c r="H1" s="122"/>
      <c r="I1" s="119" t="s">
        <v>112</v>
      </c>
      <c r="J1" s="119"/>
      <c r="K1" s="119"/>
      <c r="L1" s="119"/>
      <c r="M1" s="119"/>
      <c r="N1" s="119"/>
      <c r="O1" s="120"/>
      <c r="Q1" s="121">
        <v>2</v>
      </c>
      <c r="R1" s="122"/>
      <c r="S1" s="119" t="s">
        <v>114</v>
      </c>
      <c r="T1" s="119"/>
      <c r="U1" s="119"/>
      <c r="V1" s="119"/>
      <c r="W1" s="119"/>
      <c r="X1" s="119"/>
      <c r="Y1" s="120"/>
      <c r="AA1" s="121">
        <v>3</v>
      </c>
      <c r="AB1" s="122"/>
      <c r="AC1" s="119" t="s">
        <v>113</v>
      </c>
      <c r="AD1" s="119"/>
      <c r="AE1" s="119"/>
      <c r="AF1" s="119"/>
      <c r="AG1" s="119"/>
      <c r="AH1" s="119"/>
      <c r="AI1" s="120"/>
      <c r="AJ1" s="114" t="s">
        <v>107</v>
      </c>
      <c r="AK1" s="121">
        <v>4</v>
      </c>
      <c r="AL1" s="122"/>
      <c r="AM1" s="119" t="s">
        <v>112</v>
      </c>
      <c r="AN1" s="119"/>
      <c r="AO1" s="119"/>
      <c r="AP1" s="119"/>
      <c r="AQ1" s="119"/>
      <c r="AR1" s="119"/>
      <c r="AS1" s="120"/>
      <c r="AT1" s="114"/>
      <c r="AU1" s="121">
        <v>5</v>
      </c>
      <c r="AV1" s="122"/>
      <c r="AW1" s="119" t="s">
        <v>114</v>
      </c>
      <c r="AX1" s="119"/>
      <c r="AY1" s="119"/>
      <c r="AZ1" s="119"/>
      <c r="BA1" s="119"/>
      <c r="BB1" s="119"/>
      <c r="BC1" s="120"/>
      <c r="BE1" s="121">
        <v>6</v>
      </c>
      <c r="BF1" s="122"/>
      <c r="BG1" s="119" t="s">
        <v>113</v>
      </c>
      <c r="BH1" s="119"/>
      <c r="BI1" s="119"/>
      <c r="BJ1" s="119"/>
      <c r="BK1" s="119"/>
      <c r="BL1" s="119"/>
      <c r="BM1" s="120"/>
      <c r="BO1" s="121">
        <v>7</v>
      </c>
      <c r="BP1" s="122"/>
      <c r="BQ1" s="119" t="s">
        <v>112</v>
      </c>
      <c r="BR1" s="119"/>
      <c r="BS1" s="119"/>
      <c r="BT1" s="119"/>
      <c r="BU1" s="119"/>
      <c r="BV1" s="119"/>
      <c r="BW1" s="120"/>
      <c r="BY1" s="121">
        <v>8</v>
      </c>
      <c r="BZ1" s="122"/>
      <c r="CA1" s="119" t="s">
        <v>114</v>
      </c>
      <c r="CB1" s="119"/>
      <c r="CC1" s="119"/>
      <c r="CD1" s="119"/>
      <c r="CE1" s="119"/>
      <c r="CF1" s="119"/>
      <c r="CG1" s="120"/>
      <c r="CI1" s="121">
        <v>9</v>
      </c>
      <c r="CJ1" s="122"/>
      <c r="CK1" s="119" t="s">
        <v>113</v>
      </c>
      <c r="CL1" s="119"/>
      <c r="CM1" s="119"/>
      <c r="CN1" s="119"/>
      <c r="CO1" s="119"/>
      <c r="CP1" s="119"/>
      <c r="CQ1" s="120"/>
      <c r="CS1" s="121">
        <v>10</v>
      </c>
      <c r="CT1" s="122"/>
      <c r="CU1" s="119"/>
      <c r="CV1" s="119"/>
      <c r="CW1" s="119"/>
      <c r="CX1" s="119"/>
      <c r="CY1" s="119"/>
      <c r="CZ1" s="119"/>
      <c r="DA1" s="120"/>
      <c r="DC1" s="121">
        <v>11</v>
      </c>
      <c r="DD1" s="122"/>
      <c r="DE1" s="119"/>
      <c r="DF1" s="119"/>
      <c r="DG1" s="119"/>
      <c r="DH1" s="119"/>
      <c r="DI1" s="119"/>
      <c r="DJ1" s="119"/>
      <c r="DK1" s="120"/>
      <c r="DM1" s="121">
        <v>12</v>
      </c>
      <c r="DN1" s="122"/>
      <c r="DO1" s="119"/>
      <c r="DP1" s="119"/>
      <c r="DQ1" s="119"/>
      <c r="DR1" s="119"/>
      <c r="DS1" s="119"/>
      <c r="DT1" s="119"/>
      <c r="DU1" s="120"/>
      <c r="HG1" s="2"/>
    </row>
    <row r="2" spans="1:215" ht="13.25" customHeight="1" x14ac:dyDescent="0.2">
      <c r="A2" s="102" t="s">
        <v>2</v>
      </c>
      <c r="B2" s="74">
        <v>415</v>
      </c>
      <c r="C2" s="54" t="s">
        <v>3</v>
      </c>
      <c r="D2" s="75">
        <v>41</v>
      </c>
      <c r="E2" s="53" t="s">
        <v>12</v>
      </c>
      <c r="G2" s="125" t="s">
        <v>34</v>
      </c>
      <c r="H2" s="126"/>
      <c r="I2" s="31">
        <v>54</v>
      </c>
      <c r="J2" s="20" t="s">
        <v>3</v>
      </c>
      <c r="K2" s="48">
        <v>32</v>
      </c>
      <c r="L2" s="20" t="s">
        <v>12</v>
      </c>
      <c r="M2" s="3"/>
      <c r="O2" s="9"/>
      <c r="Q2" s="125" t="s">
        <v>34</v>
      </c>
      <c r="R2" s="126"/>
      <c r="S2" s="31">
        <v>36</v>
      </c>
      <c r="T2" s="20" t="s">
        <v>3</v>
      </c>
      <c r="U2" s="48">
        <v>23</v>
      </c>
      <c r="V2" s="20" t="s">
        <v>12</v>
      </c>
      <c r="W2" s="3"/>
      <c r="X2" s="25"/>
      <c r="Y2" s="9"/>
      <c r="AA2" s="125" t="s">
        <v>34</v>
      </c>
      <c r="AB2" s="126"/>
      <c r="AC2" s="31">
        <v>50</v>
      </c>
      <c r="AD2" s="20" t="s">
        <v>3</v>
      </c>
      <c r="AE2" s="48">
        <v>7</v>
      </c>
      <c r="AF2" s="20" t="s">
        <v>12</v>
      </c>
      <c r="AG2" s="3"/>
      <c r="AH2" s="25"/>
      <c r="AI2" s="9"/>
      <c r="AK2" s="125" t="s">
        <v>34</v>
      </c>
      <c r="AL2" s="126"/>
      <c r="AM2" s="31">
        <v>56</v>
      </c>
      <c r="AN2" s="20" t="s">
        <v>3</v>
      </c>
      <c r="AO2" s="48">
        <v>10</v>
      </c>
      <c r="AP2" s="20" t="s">
        <v>12</v>
      </c>
      <c r="AQ2" s="3"/>
      <c r="AR2" s="25"/>
      <c r="AS2" s="9"/>
      <c r="AU2" s="125" t="s">
        <v>34</v>
      </c>
      <c r="AV2" s="126"/>
      <c r="AW2" s="31">
        <v>35</v>
      </c>
      <c r="AX2" s="20" t="s">
        <v>3</v>
      </c>
      <c r="AY2" s="48">
        <v>34</v>
      </c>
      <c r="AZ2" s="20" t="s">
        <v>12</v>
      </c>
      <c r="BA2" s="3"/>
      <c r="BB2" s="25"/>
      <c r="BC2" s="9"/>
      <c r="BE2" s="125" t="s">
        <v>34</v>
      </c>
      <c r="BF2" s="126"/>
      <c r="BG2" s="31">
        <v>47</v>
      </c>
      <c r="BH2" s="20" t="s">
        <v>3</v>
      </c>
      <c r="BI2" s="48">
        <v>2</v>
      </c>
      <c r="BJ2" s="20" t="s">
        <v>12</v>
      </c>
      <c r="BK2" s="3"/>
      <c r="BL2" s="25"/>
      <c r="BM2" s="9"/>
      <c r="BO2" s="125" t="s">
        <v>34</v>
      </c>
      <c r="BP2" s="126"/>
      <c r="BQ2" s="31">
        <v>44</v>
      </c>
      <c r="BR2" s="20" t="s">
        <v>3</v>
      </c>
      <c r="BS2" s="48">
        <v>25</v>
      </c>
      <c r="BT2" s="20" t="s">
        <v>12</v>
      </c>
      <c r="BU2" s="3"/>
      <c r="BV2" s="25"/>
      <c r="BW2" s="9"/>
      <c r="BY2" s="125" t="s">
        <v>34</v>
      </c>
      <c r="BZ2" s="126"/>
      <c r="CA2" s="31">
        <v>35</v>
      </c>
      <c r="CB2" s="20" t="s">
        <v>3</v>
      </c>
      <c r="CC2" s="48">
        <v>34</v>
      </c>
      <c r="CD2" s="20" t="s">
        <v>12</v>
      </c>
      <c r="CE2" s="3"/>
      <c r="CF2" s="25"/>
      <c r="CG2" s="9"/>
      <c r="CI2" s="125" t="s">
        <v>34</v>
      </c>
      <c r="CJ2" s="126"/>
      <c r="CK2" s="31">
        <v>47</v>
      </c>
      <c r="CL2" s="20" t="s">
        <v>3</v>
      </c>
      <c r="CM2" s="48">
        <v>54</v>
      </c>
      <c r="CN2" s="20" t="s">
        <v>12</v>
      </c>
      <c r="CO2" s="3"/>
      <c r="CP2" s="25"/>
      <c r="CQ2" s="9"/>
      <c r="CS2" s="125" t="s">
        <v>34</v>
      </c>
      <c r="CT2" s="126"/>
      <c r="CU2" s="31"/>
      <c r="CV2" s="20" t="s">
        <v>3</v>
      </c>
      <c r="CW2" s="48"/>
      <c r="CX2" s="20" t="s">
        <v>12</v>
      </c>
      <c r="CY2" s="3"/>
      <c r="CZ2" s="25"/>
      <c r="DA2" s="9"/>
      <c r="DC2" s="125" t="s">
        <v>34</v>
      </c>
      <c r="DD2" s="126"/>
      <c r="DE2" s="31"/>
      <c r="DF2" s="20" t="s">
        <v>3</v>
      </c>
      <c r="DG2" s="48"/>
      <c r="DH2" s="20" t="s">
        <v>12</v>
      </c>
      <c r="DI2" s="3"/>
      <c r="DJ2" s="25"/>
      <c r="DK2" s="9"/>
      <c r="DM2" s="125" t="s">
        <v>34</v>
      </c>
      <c r="DN2" s="126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5" customHeight="1" x14ac:dyDescent="0.2">
      <c r="A3" s="102" t="s">
        <v>18</v>
      </c>
      <c r="B3" s="74">
        <v>4</v>
      </c>
      <c r="C3" s="54" t="s">
        <v>3</v>
      </c>
      <c r="D3" s="75">
        <v>19</v>
      </c>
      <c r="E3" s="53" t="s">
        <v>12</v>
      </c>
      <c r="G3" s="127" t="s">
        <v>26</v>
      </c>
      <c r="H3" s="128"/>
      <c r="I3" s="66">
        <v>2</v>
      </c>
      <c r="J3" s="20" t="s">
        <v>3</v>
      </c>
      <c r="K3" s="67">
        <v>21.428571428571416</v>
      </c>
      <c r="L3" s="20" t="s">
        <v>12</v>
      </c>
      <c r="M3" s="51" t="s">
        <v>35</v>
      </c>
      <c r="N3" s="52">
        <v>21</v>
      </c>
      <c r="O3" s="50" t="s">
        <v>86</v>
      </c>
      <c r="Q3" s="127" t="s">
        <v>26</v>
      </c>
      <c r="R3" s="128"/>
      <c r="S3" s="66">
        <v>2</v>
      </c>
      <c r="T3" s="20" t="s">
        <v>3</v>
      </c>
      <c r="U3" s="67">
        <v>24.5</v>
      </c>
      <c r="V3" s="20" t="s">
        <v>12</v>
      </c>
      <c r="W3" s="51" t="s">
        <v>35</v>
      </c>
      <c r="X3" s="52">
        <v>14</v>
      </c>
      <c r="Y3" s="50" t="s">
        <v>86</v>
      </c>
      <c r="AA3" s="127" t="s">
        <v>26</v>
      </c>
      <c r="AB3" s="128"/>
      <c r="AC3" s="66">
        <v>2</v>
      </c>
      <c r="AD3" s="20" t="s">
        <v>3</v>
      </c>
      <c r="AE3" s="67">
        <v>22.421052631578959</v>
      </c>
      <c r="AF3" s="20" t="s">
        <v>12</v>
      </c>
      <c r="AG3" s="51" t="s">
        <v>35</v>
      </c>
      <c r="AH3" s="52">
        <v>19</v>
      </c>
      <c r="AI3" s="50" t="s">
        <v>86</v>
      </c>
      <c r="AK3" s="127" t="s">
        <v>26</v>
      </c>
      <c r="AL3" s="128"/>
      <c r="AM3" s="66">
        <v>2</v>
      </c>
      <c r="AN3" s="20" t="s">
        <v>3</v>
      </c>
      <c r="AO3" s="67">
        <v>21.449999999999989</v>
      </c>
      <c r="AP3" s="20" t="s">
        <v>12</v>
      </c>
      <c r="AQ3" s="51" t="s">
        <v>35</v>
      </c>
      <c r="AR3" s="52">
        <v>20</v>
      </c>
      <c r="AS3" s="50" t="s">
        <v>86</v>
      </c>
      <c r="AU3" s="127" t="s">
        <v>26</v>
      </c>
      <c r="AV3" s="128"/>
      <c r="AW3" s="66">
        <v>2</v>
      </c>
      <c r="AX3" s="20" t="s">
        <v>3</v>
      </c>
      <c r="AY3" s="67">
        <v>44.5</v>
      </c>
      <c r="AZ3" s="20" t="s">
        <v>12</v>
      </c>
      <c r="BA3" s="51" t="s">
        <v>35</v>
      </c>
      <c r="BB3" s="52">
        <v>12</v>
      </c>
      <c r="BC3" s="50" t="s">
        <v>86</v>
      </c>
      <c r="BE3" s="127" t="s">
        <v>26</v>
      </c>
      <c r="BF3" s="128"/>
      <c r="BG3" s="66">
        <v>2</v>
      </c>
      <c r="BH3" s="20" t="s">
        <v>3</v>
      </c>
      <c r="BI3" s="67">
        <v>22.5</v>
      </c>
      <c r="BJ3" s="20" t="s">
        <v>12</v>
      </c>
      <c r="BK3" s="51" t="s">
        <v>35</v>
      </c>
      <c r="BL3" s="52">
        <v>16</v>
      </c>
      <c r="BM3" s="50" t="s">
        <v>86</v>
      </c>
      <c r="BO3" s="127" t="s">
        <v>26</v>
      </c>
      <c r="BP3" s="128"/>
      <c r="BQ3" s="66">
        <v>2</v>
      </c>
      <c r="BR3" s="20" t="s">
        <v>3</v>
      </c>
      <c r="BS3" s="67">
        <v>21.599999999999994</v>
      </c>
      <c r="BT3" s="20" t="s">
        <v>12</v>
      </c>
      <c r="BU3" s="51" t="s">
        <v>35</v>
      </c>
      <c r="BV3" s="52">
        <v>15</v>
      </c>
      <c r="BW3" s="50" t="s">
        <v>86</v>
      </c>
      <c r="BY3" s="127" t="s">
        <v>26</v>
      </c>
      <c r="BZ3" s="128"/>
      <c r="CA3" s="66">
        <v>2</v>
      </c>
      <c r="CB3" s="20" t="s">
        <v>3</v>
      </c>
      <c r="CC3" s="67">
        <v>24.545454545454533</v>
      </c>
      <c r="CD3" s="20" t="s">
        <v>12</v>
      </c>
      <c r="CE3" s="51" t="s">
        <v>35</v>
      </c>
      <c r="CF3" s="52">
        <v>11</v>
      </c>
      <c r="CG3" s="50" t="s">
        <v>86</v>
      </c>
      <c r="CI3" s="127" t="s">
        <v>26</v>
      </c>
      <c r="CJ3" s="128"/>
      <c r="CK3" s="66">
        <v>2</v>
      </c>
      <c r="CL3" s="20" t="s">
        <v>3</v>
      </c>
      <c r="CM3" s="67">
        <v>22.631578947368411</v>
      </c>
      <c r="CN3" s="20" t="s">
        <v>12</v>
      </c>
      <c r="CO3" s="51" t="s">
        <v>35</v>
      </c>
      <c r="CP3" s="52">
        <v>19</v>
      </c>
      <c r="CQ3" s="50" t="s">
        <v>86</v>
      </c>
      <c r="CS3" s="127" t="s">
        <v>26</v>
      </c>
      <c r="CT3" s="128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27" t="s">
        <v>26</v>
      </c>
      <c r="DD3" s="128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27" t="s">
        <v>26</v>
      </c>
      <c r="DN3" s="128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5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27" t="s">
        <v>27</v>
      </c>
      <c r="H4" s="128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27" t="s">
        <v>27</v>
      </c>
      <c r="R4" s="128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27" t="s">
        <v>27</v>
      </c>
      <c r="AB4" s="128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27" t="s">
        <v>27</v>
      </c>
      <c r="AL4" s="128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27" t="s">
        <v>27</v>
      </c>
      <c r="AV4" s="128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27" t="s">
        <v>27</v>
      </c>
      <c r="BF4" s="128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27" t="s">
        <v>27</v>
      </c>
      <c r="BP4" s="128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27" t="s">
        <v>27</v>
      </c>
      <c r="BZ4" s="128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27" t="s">
        <v>27</v>
      </c>
      <c r="CJ4" s="128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27" t="s">
        <v>27</v>
      </c>
      <c r="CT4" s="128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27" t="s">
        <v>27</v>
      </c>
      <c r="DD4" s="128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27" t="s">
        <v>27</v>
      </c>
      <c r="DN4" s="128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5" customHeight="1" x14ac:dyDescent="0.2">
      <c r="G5" s="127" t="s">
        <v>28</v>
      </c>
      <c r="H5" s="128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27" t="s">
        <v>28</v>
      </c>
      <c r="R5" s="128"/>
      <c r="S5" s="31"/>
      <c r="T5" s="20" t="s">
        <v>3</v>
      </c>
      <c r="U5" s="48"/>
      <c r="V5" s="20" t="s">
        <v>12</v>
      </c>
      <c r="W5" s="51" t="s">
        <v>45</v>
      </c>
      <c r="X5" s="52"/>
      <c r="Y5" s="50" t="s">
        <v>86</v>
      </c>
      <c r="AA5" s="127" t="s">
        <v>28</v>
      </c>
      <c r="AB5" s="128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27" t="s">
        <v>28</v>
      </c>
      <c r="AL5" s="128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27" t="s">
        <v>28</v>
      </c>
      <c r="AV5" s="128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27" t="s">
        <v>28</v>
      </c>
      <c r="BF5" s="128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27" t="s">
        <v>28</v>
      </c>
      <c r="BP5" s="128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27" t="s">
        <v>28</v>
      </c>
      <c r="BZ5" s="128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27" t="s">
        <v>28</v>
      </c>
      <c r="CJ5" s="128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27" t="s">
        <v>28</v>
      </c>
      <c r="CT5" s="128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27" t="s">
        <v>28</v>
      </c>
      <c r="DD5" s="128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27" t="s">
        <v>28</v>
      </c>
      <c r="DN5" s="128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5" customHeight="1" x14ac:dyDescent="0.2">
      <c r="A6" s="68" t="s">
        <v>46</v>
      </c>
      <c r="B6" s="56" t="s">
        <v>101</v>
      </c>
      <c r="G6" s="125" t="s">
        <v>0</v>
      </c>
      <c r="H6" s="126"/>
      <c r="I6" s="31">
        <v>2</v>
      </c>
      <c r="J6" s="20" t="s">
        <v>3</v>
      </c>
      <c r="K6" s="48">
        <v>22.260869565217405</v>
      </c>
      <c r="L6" s="20" t="s">
        <v>12</v>
      </c>
      <c r="M6" s="25" t="s">
        <v>49</v>
      </c>
      <c r="N6" s="25">
        <v>18</v>
      </c>
      <c r="O6" s="61" t="s">
        <v>86</v>
      </c>
      <c r="Q6" s="125" t="s">
        <v>0</v>
      </c>
      <c r="R6" s="126"/>
      <c r="S6" s="31">
        <v>2</v>
      </c>
      <c r="T6" s="20" t="s">
        <v>3</v>
      </c>
      <c r="U6" s="48">
        <v>25.533333333333331</v>
      </c>
      <c r="V6" s="20" t="s">
        <v>12</v>
      </c>
      <c r="W6" s="25" t="s">
        <v>49</v>
      </c>
      <c r="X6" s="25">
        <v>21</v>
      </c>
      <c r="Y6" s="61" t="s">
        <v>86</v>
      </c>
      <c r="AA6" s="125" t="s">
        <v>0</v>
      </c>
      <c r="AB6" s="126"/>
      <c r="AC6" s="31">
        <v>2</v>
      </c>
      <c r="AD6" s="20" t="s">
        <v>3</v>
      </c>
      <c r="AE6" s="48">
        <v>23.190476190476204</v>
      </c>
      <c r="AF6" s="20" t="s">
        <v>12</v>
      </c>
      <c r="AG6" s="25" t="s">
        <v>49</v>
      </c>
      <c r="AH6" s="25">
        <v>21</v>
      </c>
      <c r="AI6" s="61" t="s">
        <v>86</v>
      </c>
      <c r="AK6" s="125" t="s">
        <v>0</v>
      </c>
      <c r="AL6" s="126"/>
      <c r="AM6" s="31">
        <v>2</v>
      </c>
      <c r="AN6" s="20" t="s">
        <v>3</v>
      </c>
      <c r="AO6" s="48">
        <v>33.181818181818187</v>
      </c>
      <c r="AP6" s="20" t="s">
        <v>12</v>
      </c>
      <c r="AQ6" s="25" t="s">
        <v>49</v>
      </c>
      <c r="AR6" s="25">
        <v>18</v>
      </c>
      <c r="AS6" s="61" t="s">
        <v>86</v>
      </c>
      <c r="AU6" s="125" t="s">
        <v>0</v>
      </c>
      <c r="AV6" s="126"/>
      <c r="AW6" s="31">
        <v>2</v>
      </c>
      <c r="AX6" s="20" t="s">
        <v>3</v>
      </c>
      <c r="AY6" s="48">
        <v>44.15384615384616</v>
      </c>
      <c r="AZ6" s="20" t="s">
        <v>12</v>
      </c>
      <c r="BA6" s="25" t="s">
        <v>49</v>
      </c>
      <c r="BB6" s="25">
        <v>19</v>
      </c>
      <c r="BC6" s="61" t="s">
        <v>86</v>
      </c>
      <c r="BE6" s="125" t="s">
        <v>0</v>
      </c>
      <c r="BF6" s="126"/>
      <c r="BG6" s="31">
        <v>2</v>
      </c>
      <c r="BH6" s="20" t="s">
        <v>3</v>
      </c>
      <c r="BI6" s="48">
        <v>36.777777777777771</v>
      </c>
      <c r="BJ6" s="20" t="s">
        <v>12</v>
      </c>
      <c r="BK6" s="25" t="s">
        <v>49</v>
      </c>
      <c r="BL6" s="25">
        <v>18</v>
      </c>
      <c r="BM6" s="61" t="s">
        <v>86</v>
      </c>
      <c r="BO6" s="125" t="s">
        <v>0</v>
      </c>
      <c r="BP6" s="126"/>
      <c r="BQ6" s="31">
        <v>2</v>
      </c>
      <c r="BR6" s="20" t="s">
        <v>3</v>
      </c>
      <c r="BS6" s="48">
        <v>36.764705882352928</v>
      </c>
      <c r="BT6" s="20" t="s">
        <v>12</v>
      </c>
      <c r="BU6" s="25" t="s">
        <v>49</v>
      </c>
      <c r="BV6" s="25">
        <v>15</v>
      </c>
      <c r="BW6" s="61" t="s">
        <v>86</v>
      </c>
      <c r="BY6" s="125" t="s">
        <v>0</v>
      </c>
      <c r="BZ6" s="126"/>
      <c r="CA6" s="31">
        <v>2</v>
      </c>
      <c r="CB6" s="20" t="s">
        <v>3</v>
      </c>
      <c r="CC6" s="48">
        <v>44.15384615384616</v>
      </c>
      <c r="CD6" s="20" t="s">
        <v>12</v>
      </c>
      <c r="CE6" s="25" t="s">
        <v>49</v>
      </c>
      <c r="CF6" s="25">
        <v>15</v>
      </c>
      <c r="CG6" s="61" t="s">
        <v>86</v>
      </c>
      <c r="CI6" s="125" t="s">
        <v>0</v>
      </c>
      <c r="CJ6" s="126"/>
      <c r="CK6" s="31">
        <v>2</v>
      </c>
      <c r="CL6" s="20" t="s">
        <v>3</v>
      </c>
      <c r="CM6" s="48">
        <v>23.699999999999989</v>
      </c>
      <c r="CN6" s="20" t="s">
        <v>12</v>
      </c>
      <c r="CO6" s="25" t="s">
        <v>49</v>
      </c>
      <c r="CP6" s="25">
        <v>15</v>
      </c>
      <c r="CQ6" s="61" t="s">
        <v>86</v>
      </c>
      <c r="CS6" s="125" t="s">
        <v>0</v>
      </c>
      <c r="CT6" s="126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25" t="s">
        <v>0</v>
      </c>
      <c r="DD6" s="126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25" t="s">
        <v>0</v>
      </c>
      <c r="DN6" s="126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5" customHeight="1" x14ac:dyDescent="0.2">
      <c r="A7" s="60" t="s">
        <v>94</v>
      </c>
      <c r="B7" s="76"/>
      <c r="C7" s="68" t="s">
        <v>3</v>
      </c>
      <c r="D7" s="77"/>
      <c r="E7" s="68" t="s">
        <v>12</v>
      </c>
      <c r="G7" s="125" t="s">
        <v>1</v>
      </c>
      <c r="H7" s="126"/>
      <c r="I7" s="31">
        <v>2</v>
      </c>
      <c r="J7" s="20" t="s">
        <v>3</v>
      </c>
      <c r="K7" s="48">
        <v>21.333333333333343</v>
      </c>
      <c r="L7" s="20" t="s">
        <v>12</v>
      </c>
      <c r="M7" s="25" t="s">
        <v>48</v>
      </c>
      <c r="N7" s="5">
        <v>-5</v>
      </c>
      <c r="O7" s="61" t="s">
        <v>86</v>
      </c>
      <c r="Q7" s="125" t="s">
        <v>1</v>
      </c>
      <c r="R7" s="126"/>
      <c r="S7" s="31">
        <v>2</v>
      </c>
      <c r="T7" s="20" t="s">
        <v>3</v>
      </c>
      <c r="U7" s="48">
        <v>24.333333333333343</v>
      </c>
      <c r="V7" s="20" t="s">
        <v>12</v>
      </c>
      <c r="W7" s="25" t="s">
        <v>48</v>
      </c>
      <c r="X7" s="5">
        <v>6</v>
      </c>
      <c r="Y7" s="61" t="s">
        <v>86</v>
      </c>
      <c r="AA7" s="125" t="s">
        <v>1</v>
      </c>
      <c r="AB7" s="126"/>
      <c r="AC7" s="31">
        <v>2</v>
      </c>
      <c r="AD7" s="20" t="s">
        <v>3</v>
      </c>
      <c r="AE7" s="48">
        <v>21.666666666666657</v>
      </c>
      <c r="AF7" s="20" t="s">
        <v>12</v>
      </c>
      <c r="AG7" s="25" t="s">
        <v>48</v>
      </c>
      <c r="AH7" s="5">
        <v>0</v>
      </c>
      <c r="AI7" s="61" t="s">
        <v>86</v>
      </c>
      <c r="AK7" s="125" t="s">
        <v>1</v>
      </c>
      <c r="AL7" s="126"/>
      <c r="AM7" s="31">
        <v>3</v>
      </c>
      <c r="AN7" s="20" t="s">
        <v>3</v>
      </c>
      <c r="AO7" s="48">
        <v>41</v>
      </c>
      <c r="AP7" s="20" t="s">
        <v>12</v>
      </c>
      <c r="AQ7" s="25" t="s">
        <v>48</v>
      </c>
      <c r="AR7" s="5">
        <v>-4</v>
      </c>
      <c r="AS7" s="61" t="s">
        <v>86</v>
      </c>
      <c r="AU7" s="125" t="s">
        <v>1</v>
      </c>
      <c r="AV7" s="126"/>
      <c r="AW7" s="31">
        <v>3</v>
      </c>
      <c r="AX7" s="20" t="s">
        <v>3</v>
      </c>
      <c r="AY7" s="48">
        <v>44</v>
      </c>
      <c r="AZ7" s="20" t="s">
        <v>12</v>
      </c>
      <c r="BA7" s="25" t="s">
        <v>48</v>
      </c>
      <c r="BB7" s="5">
        <v>6</v>
      </c>
      <c r="BC7" s="61" t="s">
        <v>86</v>
      </c>
      <c r="BE7" s="125" t="s">
        <v>1</v>
      </c>
      <c r="BF7" s="126"/>
      <c r="BG7" s="31">
        <v>3</v>
      </c>
      <c r="BH7" s="20" t="s">
        <v>3</v>
      </c>
      <c r="BI7" s="48">
        <v>42</v>
      </c>
      <c r="BJ7" s="20" t="s">
        <v>12</v>
      </c>
      <c r="BK7" s="25" t="s">
        <v>48</v>
      </c>
      <c r="BL7" s="5">
        <v>0</v>
      </c>
      <c r="BM7" s="61" t="s">
        <v>86</v>
      </c>
      <c r="BO7" s="125" t="s">
        <v>1</v>
      </c>
      <c r="BP7" s="126"/>
      <c r="BQ7" s="31">
        <v>3</v>
      </c>
      <c r="BR7" s="20" t="s">
        <v>3</v>
      </c>
      <c r="BS7" s="48">
        <v>41</v>
      </c>
      <c r="BT7" s="20" t="s">
        <v>12</v>
      </c>
      <c r="BU7" s="25" t="s">
        <v>48</v>
      </c>
      <c r="BV7" s="5">
        <v>-2</v>
      </c>
      <c r="BW7" s="61" t="s">
        <v>86</v>
      </c>
      <c r="BY7" s="125" t="s">
        <v>1</v>
      </c>
      <c r="BZ7" s="126"/>
      <c r="CA7" s="31">
        <v>3</v>
      </c>
      <c r="CB7" s="20" t="s">
        <v>3</v>
      </c>
      <c r="CC7" s="48">
        <v>44</v>
      </c>
      <c r="CD7" s="20" t="s">
        <v>12</v>
      </c>
      <c r="CE7" s="25" t="s">
        <v>48</v>
      </c>
      <c r="CF7" s="5">
        <v>2</v>
      </c>
      <c r="CG7" s="61" t="s">
        <v>86</v>
      </c>
      <c r="CI7" s="125" t="s">
        <v>1</v>
      </c>
      <c r="CJ7" s="126"/>
      <c r="CK7" s="31">
        <v>2</v>
      </c>
      <c r="CL7" s="20" t="s">
        <v>3</v>
      </c>
      <c r="CM7" s="48">
        <v>22</v>
      </c>
      <c r="CN7" s="20" t="s">
        <v>12</v>
      </c>
      <c r="CO7" s="25" t="s">
        <v>48</v>
      </c>
      <c r="CP7" s="5">
        <v>-5</v>
      </c>
      <c r="CQ7" s="61" t="s">
        <v>86</v>
      </c>
      <c r="CS7" s="125" t="s">
        <v>1</v>
      </c>
      <c r="CT7" s="126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25" t="s">
        <v>1</v>
      </c>
      <c r="DD7" s="126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25" t="s">
        <v>1</v>
      </c>
      <c r="DN7" s="126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5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5" customHeight="1" x14ac:dyDescent="0.2">
      <c r="A9" s="60" t="s">
        <v>97</v>
      </c>
      <c r="B9" s="76"/>
      <c r="C9" s="68" t="s">
        <v>3</v>
      </c>
      <c r="D9" s="77"/>
      <c r="E9" s="68" t="s">
        <v>12</v>
      </c>
      <c r="G9" s="24"/>
      <c r="H9" s="103" t="s">
        <v>16</v>
      </c>
      <c r="I9" s="22" t="s">
        <v>15</v>
      </c>
      <c r="J9" s="129" t="s">
        <v>25</v>
      </c>
      <c r="K9" s="129"/>
      <c r="M9" s="129" t="s">
        <v>8</v>
      </c>
      <c r="N9" s="129"/>
      <c r="O9" s="17"/>
      <c r="P9" s="25"/>
      <c r="Q9" s="24"/>
      <c r="R9" s="103" t="s">
        <v>16</v>
      </c>
      <c r="S9" s="22" t="s">
        <v>15</v>
      </c>
      <c r="T9" s="129" t="s">
        <v>25</v>
      </c>
      <c r="U9" s="129"/>
      <c r="V9" s="25"/>
      <c r="W9" s="129" t="s">
        <v>8</v>
      </c>
      <c r="X9" s="129"/>
      <c r="Y9" s="65"/>
      <c r="AA9" s="24"/>
      <c r="AB9" s="103" t="s">
        <v>16</v>
      </c>
      <c r="AC9" s="22" t="s">
        <v>15</v>
      </c>
      <c r="AD9" s="129" t="s">
        <v>25</v>
      </c>
      <c r="AE9" s="129"/>
      <c r="AF9" s="25"/>
      <c r="AG9" s="129" t="s">
        <v>8</v>
      </c>
      <c r="AH9" s="129"/>
      <c r="AI9" s="65"/>
      <c r="AK9" s="24"/>
      <c r="AL9" s="103" t="s">
        <v>16</v>
      </c>
      <c r="AM9" s="22" t="s">
        <v>15</v>
      </c>
      <c r="AN9" s="129" t="s">
        <v>25</v>
      </c>
      <c r="AO9" s="129"/>
      <c r="AP9" s="25"/>
      <c r="AQ9" s="129" t="s">
        <v>8</v>
      </c>
      <c r="AR9" s="129"/>
      <c r="AS9" s="65"/>
      <c r="AU9" s="24"/>
      <c r="AV9" s="103" t="s">
        <v>16</v>
      </c>
      <c r="AW9" s="22" t="s">
        <v>15</v>
      </c>
      <c r="AX9" s="129" t="s">
        <v>25</v>
      </c>
      <c r="AY9" s="129"/>
      <c r="AZ9" s="25"/>
      <c r="BA9" s="129" t="s">
        <v>8</v>
      </c>
      <c r="BB9" s="129"/>
      <c r="BC9" s="65"/>
      <c r="BE9" s="24"/>
      <c r="BF9" s="103" t="s">
        <v>16</v>
      </c>
      <c r="BG9" s="22" t="s">
        <v>15</v>
      </c>
      <c r="BH9" s="129" t="s">
        <v>25</v>
      </c>
      <c r="BI9" s="129"/>
      <c r="BJ9" s="25"/>
      <c r="BK9" s="129" t="s">
        <v>8</v>
      </c>
      <c r="BL9" s="129"/>
      <c r="BM9" s="65"/>
      <c r="BO9" s="24"/>
      <c r="BP9" s="103" t="s">
        <v>16</v>
      </c>
      <c r="BQ9" s="22" t="s">
        <v>15</v>
      </c>
      <c r="BR9" s="129" t="s">
        <v>25</v>
      </c>
      <c r="BS9" s="129"/>
      <c r="BT9" s="25"/>
      <c r="BU9" s="129" t="s">
        <v>8</v>
      </c>
      <c r="BV9" s="129"/>
      <c r="BW9" s="70"/>
      <c r="BY9" s="24"/>
      <c r="BZ9" s="103" t="s">
        <v>16</v>
      </c>
      <c r="CA9" s="22" t="s">
        <v>15</v>
      </c>
      <c r="CB9" s="129" t="s">
        <v>25</v>
      </c>
      <c r="CC9" s="129"/>
      <c r="CD9" s="25"/>
      <c r="CE9" s="129" t="s">
        <v>8</v>
      </c>
      <c r="CF9" s="129"/>
      <c r="CG9" s="65"/>
      <c r="CI9" s="24"/>
      <c r="CJ9" s="103" t="s">
        <v>16</v>
      </c>
      <c r="CK9" s="22" t="s">
        <v>15</v>
      </c>
      <c r="CL9" s="129" t="s">
        <v>25</v>
      </c>
      <c r="CM9" s="129"/>
      <c r="CN9" s="25"/>
      <c r="CO9" s="129" t="s">
        <v>8</v>
      </c>
      <c r="CP9" s="129"/>
      <c r="CQ9" s="17"/>
      <c r="CS9" s="24"/>
      <c r="CT9" s="103" t="s">
        <v>16</v>
      </c>
      <c r="CU9" s="22" t="s">
        <v>15</v>
      </c>
      <c r="CV9" s="129" t="s">
        <v>25</v>
      </c>
      <c r="CW9" s="129"/>
      <c r="CX9" s="25"/>
      <c r="CY9" s="129" t="s">
        <v>8</v>
      </c>
      <c r="CZ9" s="129"/>
      <c r="DA9" s="17"/>
      <c r="DC9" s="24"/>
      <c r="DD9" s="103" t="s">
        <v>16</v>
      </c>
      <c r="DE9" s="22" t="s">
        <v>15</v>
      </c>
      <c r="DF9" s="129" t="s">
        <v>25</v>
      </c>
      <c r="DG9" s="129"/>
      <c r="DH9" s="25"/>
      <c r="DI9" s="129" t="s">
        <v>8</v>
      </c>
      <c r="DJ9" s="129"/>
      <c r="DK9" s="17"/>
      <c r="DM9" s="24"/>
      <c r="DN9" s="103" t="s">
        <v>16</v>
      </c>
      <c r="DO9" s="22" t="s">
        <v>15</v>
      </c>
      <c r="DP9" s="129" t="s">
        <v>25</v>
      </c>
      <c r="DQ9" s="129"/>
      <c r="DR9" s="25"/>
      <c r="DS9" s="129" t="s">
        <v>8</v>
      </c>
      <c r="DT9" s="129"/>
      <c r="DU9" s="17"/>
    </row>
    <row r="10" spans="1:215" ht="13.25" customHeight="1" x14ac:dyDescent="0.2">
      <c r="A10" s="60" t="s">
        <v>108</v>
      </c>
      <c r="B10" s="76"/>
      <c r="C10" s="68" t="s">
        <v>3</v>
      </c>
      <c r="D10" s="77"/>
      <c r="E10" s="68" t="s">
        <v>12</v>
      </c>
      <c r="G10" s="10" t="s">
        <v>6</v>
      </c>
      <c r="H10" s="16"/>
      <c r="I10" s="72" t="e">
        <f>$D$4/H10</f>
        <v>#DIV/0!</v>
      </c>
      <c r="J10" s="129">
        <v>0.33</v>
      </c>
      <c r="K10" s="129"/>
      <c r="M10" s="129" t="s">
        <v>30</v>
      </c>
      <c r="N10" s="129"/>
      <c r="O10" s="62">
        <f>N17-O9</f>
        <v>14.4</v>
      </c>
      <c r="P10" s="25"/>
      <c r="Q10" s="10" t="s">
        <v>6</v>
      </c>
      <c r="R10" s="16"/>
      <c r="S10" s="72" t="e">
        <f>$D$4/R10</f>
        <v>#DIV/0!</v>
      </c>
      <c r="T10" s="129">
        <v>0.33</v>
      </c>
      <c r="U10" s="129"/>
      <c r="V10" s="25"/>
      <c r="W10" s="129" t="s">
        <v>30</v>
      </c>
      <c r="X10" s="129"/>
      <c r="Y10" s="21">
        <f>X17-Y9</f>
        <v>11.170000000000009</v>
      </c>
      <c r="AA10" s="10" t="s">
        <v>6</v>
      </c>
      <c r="AB10" s="16"/>
      <c r="AC10" s="72" t="e">
        <f>$D$4/AB10</f>
        <v>#DIV/0!</v>
      </c>
      <c r="AD10" s="129">
        <v>0.33</v>
      </c>
      <c r="AE10" s="129"/>
      <c r="AF10" s="25"/>
      <c r="AG10" s="129" t="s">
        <v>30</v>
      </c>
      <c r="AH10" s="129"/>
      <c r="AI10" s="21">
        <f>AH17-AI9</f>
        <v>11.240000000000013</v>
      </c>
      <c r="AK10" s="10" t="s">
        <v>6</v>
      </c>
      <c r="AL10" s="16"/>
      <c r="AM10" s="72" t="e">
        <f>$D$4/AL10</f>
        <v>#DIV/0!</v>
      </c>
      <c r="AN10" s="129">
        <v>0.33</v>
      </c>
      <c r="AO10" s="129"/>
      <c r="AP10" s="25"/>
      <c r="AQ10" s="129" t="s">
        <v>30</v>
      </c>
      <c r="AR10" s="129"/>
      <c r="AS10" s="71">
        <f>AR17-AS9</f>
        <v>9.2100000000000186</v>
      </c>
      <c r="AU10" s="10" t="s">
        <v>6</v>
      </c>
      <c r="AV10" s="16"/>
      <c r="AW10" s="72" t="e">
        <f>$D$4/AV10</f>
        <v>#DIV/0!</v>
      </c>
      <c r="AX10" s="129">
        <v>0.33</v>
      </c>
      <c r="AY10" s="129"/>
      <c r="AZ10" s="25"/>
      <c r="BA10" s="129" t="s">
        <v>30</v>
      </c>
      <c r="BB10" s="129"/>
      <c r="BC10" s="18">
        <f>BB17-BC9</f>
        <v>6.8500000000000227</v>
      </c>
      <c r="BE10" s="10" t="s">
        <v>6</v>
      </c>
      <c r="BF10" s="16"/>
      <c r="BG10" s="72" t="e">
        <f>$D$4/BF10</f>
        <v>#DIV/0!</v>
      </c>
      <c r="BH10" s="129">
        <v>0.33</v>
      </c>
      <c r="BI10" s="129"/>
      <c r="BJ10" s="25"/>
      <c r="BK10" s="129" t="s">
        <v>30</v>
      </c>
      <c r="BL10" s="129"/>
      <c r="BM10" s="21">
        <f>BL17-BM9</f>
        <v>7.6200000000000241</v>
      </c>
      <c r="BO10" s="10" t="s">
        <v>6</v>
      </c>
      <c r="BP10" s="16"/>
      <c r="BQ10" s="72" t="e">
        <f>$D$4/BP10</f>
        <v>#DIV/0!</v>
      </c>
      <c r="BR10" s="129">
        <v>0.33</v>
      </c>
      <c r="BS10" s="129"/>
      <c r="BT10" s="25"/>
      <c r="BU10" s="129" t="s">
        <v>30</v>
      </c>
      <c r="BV10" s="129"/>
      <c r="BW10" s="21">
        <f>BV17-BW9</f>
        <v>6.6400000000000263</v>
      </c>
      <c r="BY10" s="10" t="s">
        <v>6</v>
      </c>
      <c r="BZ10" s="16"/>
      <c r="CA10" s="72" t="e">
        <f>$D$4/BZ10</f>
        <v>#DIV/0!</v>
      </c>
      <c r="CB10" s="129">
        <v>0.33</v>
      </c>
      <c r="CC10" s="129"/>
      <c r="CD10" s="25"/>
      <c r="CE10" s="129" t="s">
        <v>30</v>
      </c>
      <c r="CF10" s="129"/>
      <c r="CG10" s="21">
        <f>CF17-CG9</f>
        <v>6.0100000000000273</v>
      </c>
      <c r="CI10" s="10" t="s">
        <v>6</v>
      </c>
      <c r="CJ10" s="16"/>
      <c r="CK10" s="72" t="e">
        <f>$D$4/CJ10</f>
        <v>#DIV/0!</v>
      </c>
      <c r="CL10" s="129">
        <v>0.33</v>
      </c>
      <c r="CM10" s="129"/>
      <c r="CN10" s="25"/>
      <c r="CO10" s="129" t="s">
        <v>30</v>
      </c>
      <c r="CP10" s="129"/>
      <c r="CQ10" s="21">
        <f>CP17-CQ9</f>
        <v>6.7800000000000278</v>
      </c>
      <c r="CS10" s="10" t="s">
        <v>6</v>
      </c>
      <c r="CT10" s="16">
        <v>16.5</v>
      </c>
      <c r="CU10" s="72">
        <f>$D$4/CT10</f>
        <v>0.29099266666666668</v>
      </c>
      <c r="CV10" s="129">
        <v>0.27</v>
      </c>
      <c r="CW10" s="129"/>
      <c r="CX10" s="25"/>
      <c r="CY10" s="129" t="s">
        <v>30</v>
      </c>
      <c r="CZ10" s="129"/>
      <c r="DA10" s="62">
        <f>CZ17-DA9</f>
        <v>0</v>
      </c>
      <c r="DC10" s="10" t="s">
        <v>6</v>
      </c>
      <c r="DD10" s="16">
        <v>16.5</v>
      </c>
      <c r="DE10" s="72">
        <f>$D$4/DD10</f>
        <v>0.29099266666666668</v>
      </c>
      <c r="DF10" s="129">
        <v>0.27</v>
      </c>
      <c r="DG10" s="129"/>
      <c r="DH10" s="25"/>
      <c r="DI10" s="129" t="s">
        <v>30</v>
      </c>
      <c r="DJ10" s="129"/>
      <c r="DK10" s="62">
        <f>DJ17-DK9</f>
        <v>0</v>
      </c>
      <c r="DM10" s="10" t="s">
        <v>6</v>
      </c>
      <c r="DN10" s="16">
        <v>16.5</v>
      </c>
      <c r="DO10" s="72">
        <f>$D$4/DN10</f>
        <v>0.29099266666666668</v>
      </c>
      <c r="DP10" s="129">
        <v>0.27</v>
      </c>
      <c r="DQ10" s="129"/>
      <c r="DR10" s="25"/>
      <c r="DS10" s="129" t="s">
        <v>30</v>
      </c>
      <c r="DT10" s="129"/>
      <c r="DU10" s="62">
        <f>DT17-DU9</f>
        <v>0</v>
      </c>
    </row>
    <row r="11" spans="1:215" ht="13.25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29" t="s">
        <v>23</v>
      </c>
      <c r="K11" s="129"/>
      <c r="M11" s="129" t="s">
        <v>31</v>
      </c>
      <c r="N11" s="129"/>
      <c r="O11" s="21">
        <f>O10-(L18+L19+L20)</f>
        <v>13.88</v>
      </c>
      <c r="P11" s="25"/>
      <c r="Q11" s="10" t="s">
        <v>7</v>
      </c>
      <c r="R11" s="16"/>
      <c r="S11" s="72" t="e">
        <f>$D$4/R11</f>
        <v>#DIV/0!</v>
      </c>
      <c r="T11" s="129" t="s">
        <v>23</v>
      </c>
      <c r="U11" s="129"/>
      <c r="V11" s="25"/>
      <c r="W11" s="130"/>
      <c r="X11" s="130"/>
      <c r="Y11" s="45"/>
      <c r="AA11" s="10" t="s">
        <v>7</v>
      </c>
      <c r="AB11" s="16"/>
      <c r="AC11" s="72" t="e">
        <f>$D$4/AB11</f>
        <v>#DIV/0!</v>
      </c>
      <c r="AD11" s="129" t="s">
        <v>23</v>
      </c>
      <c r="AE11" s="129"/>
      <c r="AF11" s="25"/>
      <c r="AG11" s="130"/>
      <c r="AH11" s="130"/>
      <c r="AI11" s="45"/>
      <c r="AK11" s="10" t="s">
        <v>7</v>
      </c>
      <c r="AL11" s="16"/>
      <c r="AM11" s="72" t="e">
        <f>$D$4/AL11</f>
        <v>#DIV/0!</v>
      </c>
      <c r="AN11" s="129" t="s">
        <v>23</v>
      </c>
      <c r="AO11" s="129"/>
      <c r="AP11" s="25"/>
      <c r="AQ11" s="130"/>
      <c r="AR11" s="130"/>
      <c r="AS11" s="45"/>
      <c r="AU11" s="10" t="s">
        <v>7</v>
      </c>
      <c r="AV11" s="16"/>
      <c r="AW11" s="72" t="e">
        <f>$D$4/AV11</f>
        <v>#DIV/0!</v>
      </c>
      <c r="AX11" s="129" t="s">
        <v>23</v>
      </c>
      <c r="AY11" s="129"/>
      <c r="AZ11" s="25"/>
      <c r="BA11" s="130"/>
      <c r="BB11" s="130"/>
      <c r="BC11" s="45"/>
      <c r="BE11" s="10" t="s">
        <v>7</v>
      </c>
      <c r="BF11" s="16"/>
      <c r="BG11" s="72" t="e">
        <f>$D$4/BF11</f>
        <v>#DIV/0!</v>
      </c>
      <c r="BH11" s="129" t="s">
        <v>23</v>
      </c>
      <c r="BI11" s="129"/>
      <c r="BJ11" s="25"/>
      <c r="BK11" s="130"/>
      <c r="BL11" s="130"/>
      <c r="BM11" s="45"/>
      <c r="BO11" s="10" t="s">
        <v>7</v>
      </c>
      <c r="BP11" s="16"/>
      <c r="BQ11" s="72" t="e">
        <f>$D$4/BP11</f>
        <v>#DIV/0!</v>
      </c>
      <c r="BR11" s="129" t="s">
        <v>23</v>
      </c>
      <c r="BS11" s="129"/>
      <c r="BT11" s="25"/>
      <c r="BU11" s="130"/>
      <c r="BV11" s="130"/>
      <c r="BW11" s="45"/>
      <c r="BY11" s="10" t="s">
        <v>7</v>
      </c>
      <c r="BZ11" s="16"/>
      <c r="CA11" s="72" t="e">
        <f>$D$4/BZ11</f>
        <v>#DIV/0!</v>
      </c>
      <c r="CB11" s="129" t="s">
        <v>23</v>
      </c>
      <c r="CC11" s="129"/>
      <c r="CD11" s="25"/>
      <c r="CE11" s="130"/>
      <c r="CF11" s="130"/>
      <c r="CG11" s="45"/>
      <c r="CI11" s="10" t="s">
        <v>7</v>
      </c>
      <c r="CJ11" s="16"/>
      <c r="CK11" s="72" t="e">
        <f>$D$4/CJ11</f>
        <v>#DIV/0!</v>
      </c>
      <c r="CL11" s="129" t="s">
        <v>23</v>
      </c>
      <c r="CM11" s="129"/>
      <c r="CN11" s="25"/>
      <c r="CO11" s="130"/>
      <c r="CP11" s="130"/>
      <c r="CQ11" s="45"/>
      <c r="CS11" s="10" t="s">
        <v>7</v>
      </c>
      <c r="CT11" s="16">
        <v>18</v>
      </c>
      <c r="CU11" s="72">
        <f>$D$4/CT11</f>
        <v>0.26674327777777779</v>
      </c>
      <c r="CV11" s="129" t="s">
        <v>23</v>
      </c>
      <c r="CW11" s="129"/>
      <c r="CX11" s="25"/>
      <c r="CY11" s="130"/>
      <c r="CZ11" s="130"/>
      <c r="DA11" s="45"/>
      <c r="DC11" s="10" t="s">
        <v>7</v>
      </c>
      <c r="DD11" s="16">
        <v>18</v>
      </c>
      <c r="DE11" s="72">
        <f>$D$4/DD11</f>
        <v>0.26674327777777779</v>
      </c>
      <c r="DF11" s="129" t="s">
        <v>23</v>
      </c>
      <c r="DG11" s="129"/>
      <c r="DH11" s="25"/>
      <c r="DI11" s="130"/>
      <c r="DJ11" s="130"/>
      <c r="DK11" s="45"/>
      <c r="DM11" s="10" t="s">
        <v>7</v>
      </c>
      <c r="DN11" s="16">
        <v>18</v>
      </c>
      <c r="DO11" s="72">
        <f>$D$4/DN11</f>
        <v>0.26674327777777779</v>
      </c>
      <c r="DP11" s="129" t="s">
        <v>23</v>
      </c>
      <c r="DQ11" s="129"/>
      <c r="DR11" s="25"/>
      <c r="DS11" s="130"/>
      <c r="DT11" s="130"/>
      <c r="DU11" s="45"/>
    </row>
    <row r="12" spans="1:215" ht="13.25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29">
        <v>0.33</v>
      </c>
      <c r="K12" s="129"/>
      <c r="M12" s="129" t="s">
        <v>21</v>
      </c>
      <c r="N12" s="129"/>
      <c r="O12" s="47">
        <v>23</v>
      </c>
      <c r="P12" s="25"/>
      <c r="Q12" s="10" t="s">
        <v>17</v>
      </c>
      <c r="R12" s="16"/>
      <c r="S12" s="72" t="e">
        <f>$D$4/R12</f>
        <v>#DIV/0!</v>
      </c>
      <c r="T12" s="129">
        <v>0.33</v>
      </c>
      <c r="U12" s="129"/>
      <c r="V12" s="25"/>
      <c r="W12" s="129" t="s">
        <v>21</v>
      </c>
      <c r="X12" s="129"/>
      <c r="Y12" s="47">
        <v>15</v>
      </c>
      <c r="AA12" s="10" t="s">
        <v>17</v>
      </c>
      <c r="AB12" s="16"/>
      <c r="AC12" s="72" t="e">
        <f>$D$4/AB12</f>
        <v>#DIV/0!</v>
      </c>
      <c r="AD12" s="129">
        <v>0.33</v>
      </c>
      <c r="AE12" s="129"/>
      <c r="AF12" s="25"/>
      <c r="AG12" s="129" t="s">
        <v>21</v>
      </c>
      <c r="AH12" s="129"/>
      <c r="AI12" s="47">
        <v>21</v>
      </c>
      <c r="AK12" s="10" t="s">
        <v>17</v>
      </c>
      <c r="AL12" s="16"/>
      <c r="AM12" s="72" t="e">
        <f>$D$4/AL12</f>
        <v>#DIV/0!</v>
      </c>
      <c r="AN12" s="129">
        <v>0.33</v>
      </c>
      <c r="AO12" s="129"/>
      <c r="AP12" s="25"/>
      <c r="AQ12" s="129" t="s">
        <v>21</v>
      </c>
      <c r="AR12" s="129"/>
      <c r="AS12" s="47">
        <v>22</v>
      </c>
      <c r="AU12" s="10" t="s">
        <v>17</v>
      </c>
      <c r="AV12" s="16"/>
      <c r="AW12" s="72" t="e">
        <f>$D$4/AV12</f>
        <v>#DIV/0!</v>
      </c>
      <c r="AX12" s="129">
        <v>0.33</v>
      </c>
      <c r="AY12" s="129"/>
      <c r="AZ12" s="25"/>
      <c r="BA12" s="129" t="s">
        <v>21</v>
      </c>
      <c r="BB12" s="129"/>
      <c r="BC12" s="47">
        <v>13</v>
      </c>
      <c r="BE12" s="10" t="s">
        <v>17</v>
      </c>
      <c r="BF12" s="16"/>
      <c r="BG12" s="72" t="e">
        <f>$D$4/BF12</f>
        <v>#DIV/0!</v>
      </c>
      <c r="BH12" s="129">
        <v>0.33</v>
      </c>
      <c r="BI12" s="129"/>
      <c r="BJ12" s="25"/>
      <c r="BK12" s="129" t="s">
        <v>21</v>
      </c>
      <c r="BL12" s="129"/>
      <c r="BM12" s="47">
        <v>18</v>
      </c>
      <c r="BO12" s="10" t="s">
        <v>17</v>
      </c>
      <c r="BP12" s="16"/>
      <c r="BQ12" s="72" t="e">
        <f>$D$4/BP12</f>
        <v>#DIV/0!</v>
      </c>
      <c r="BR12" s="129">
        <v>0.33</v>
      </c>
      <c r="BS12" s="129"/>
      <c r="BT12" s="25"/>
      <c r="BU12" s="129" t="s">
        <v>21</v>
      </c>
      <c r="BV12" s="129"/>
      <c r="BW12" s="47">
        <v>17</v>
      </c>
      <c r="BY12" s="10" t="s">
        <v>17</v>
      </c>
      <c r="BZ12" s="16"/>
      <c r="CA12" s="72" t="e">
        <f>$D$4/BZ12</f>
        <v>#DIV/0!</v>
      </c>
      <c r="CB12" s="129">
        <v>0.33</v>
      </c>
      <c r="CC12" s="129"/>
      <c r="CD12" s="25"/>
      <c r="CE12" s="129" t="s">
        <v>21</v>
      </c>
      <c r="CF12" s="129"/>
      <c r="CG12" s="47">
        <v>13</v>
      </c>
      <c r="CI12" s="10" t="s">
        <v>17</v>
      </c>
      <c r="CJ12" s="16"/>
      <c r="CK12" s="72" t="e">
        <f>$D$4/CJ12</f>
        <v>#DIV/0!</v>
      </c>
      <c r="CL12" s="129">
        <v>0.33</v>
      </c>
      <c r="CM12" s="129"/>
      <c r="CN12" s="25"/>
      <c r="CO12" s="129" t="s">
        <v>21</v>
      </c>
      <c r="CP12" s="129"/>
      <c r="CQ12" s="47">
        <v>20</v>
      </c>
      <c r="CS12" s="10" t="s">
        <v>17</v>
      </c>
      <c r="CT12" s="16">
        <v>20</v>
      </c>
      <c r="CU12" s="72">
        <f>$D$4/CT12</f>
        <v>0.24006895</v>
      </c>
      <c r="CV12" s="129">
        <v>0.27</v>
      </c>
      <c r="CW12" s="129"/>
      <c r="CX12" s="25"/>
      <c r="CY12" s="129" t="s">
        <v>21</v>
      </c>
      <c r="CZ12" s="129"/>
      <c r="DA12" s="47"/>
      <c r="DC12" s="10" t="s">
        <v>17</v>
      </c>
      <c r="DD12" s="16">
        <v>20</v>
      </c>
      <c r="DE12" s="72">
        <f>$D$4/DD12</f>
        <v>0.24006895</v>
      </c>
      <c r="DF12" s="129">
        <v>0.27</v>
      </c>
      <c r="DG12" s="129"/>
      <c r="DH12" s="25"/>
      <c r="DI12" s="129" t="s">
        <v>21</v>
      </c>
      <c r="DJ12" s="129"/>
      <c r="DK12" s="47"/>
      <c r="DM12" s="10" t="s">
        <v>17</v>
      </c>
      <c r="DN12" s="16">
        <v>20</v>
      </c>
      <c r="DO12" s="72">
        <f>$D$4/DN12</f>
        <v>0.24006895</v>
      </c>
      <c r="DP12" s="129">
        <v>0.27</v>
      </c>
      <c r="DQ12" s="129"/>
      <c r="DR12" s="25"/>
      <c r="DS12" s="129" t="s">
        <v>21</v>
      </c>
      <c r="DT12" s="129"/>
      <c r="DU12" s="47"/>
    </row>
    <row r="13" spans="1:215" ht="13.25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29" t="s">
        <v>32</v>
      </c>
      <c r="N13" s="129"/>
      <c r="O13" s="18">
        <f>O12*$D$4</f>
        <v>110.43171699999999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29" t="s">
        <v>32</v>
      </c>
      <c r="X13" s="129"/>
      <c r="Y13" s="18">
        <f>Y12*$D$4</f>
        <v>72.020685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29" t="s">
        <v>32</v>
      </c>
      <c r="AH13" s="129"/>
      <c r="AI13" s="18">
        <f>AI12*$D$4</f>
        <v>100.828959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29" t="s">
        <v>32</v>
      </c>
      <c r="AR13" s="129"/>
      <c r="AS13" s="18">
        <f>AS12*$D$4</f>
        <v>105.63033799999999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29" t="s">
        <v>32</v>
      </c>
      <c r="BB13" s="129"/>
      <c r="BC13" s="18">
        <f>BC12*$D$4</f>
        <v>62.417926999999999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29" t="s">
        <v>32</v>
      </c>
      <c r="BL13" s="129"/>
      <c r="BM13" s="18">
        <f>BM12*$D$4</f>
        <v>86.424821999999992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29" t="s">
        <v>32</v>
      </c>
      <c r="BV13" s="129"/>
      <c r="BW13" s="18">
        <f>BW12*$D$4</f>
        <v>81.623442999999995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29" t="s">
        <v>32</v>
      </c>
      <c r="CF13" s="129"/>
      <c r="CG13" s="18">
        <f>CG12*$D$4</f>
        <v>62.417926999999999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29" t="s">
        <v>32</v>
      </c>
      <c r="CP13" s="129"/>
      <c r="CQ13" s="18">
        <f>CQ12*$D$4</f>
        <v>96.02758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29" t="s">
        <v>32</v>
      </c>
      <c r="CZ13" s="129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29" t="s">
        <v>32</v>
      </c>
      <c r="DJ13" s="129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29" t="s">
        <v>32</v>
      </c>
      <c r="DT13" s="129"/>
      <c r="DU13" s="18">
        <f>DU12*$D$4</f>
        <v>0</v>
      </c>
    </row>
    <row r="14" spans="1:215" ht="13.25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1" t="s">
        <v>9</v>
      </c>
      <c r="N14" s="131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1" t="s">
        <v>9</v>
      </c>
      <c r="X14" s="131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1" t="s">
        <v>9</v>
      </c>
      <c r="AH14" s="131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1" t="s">
        <v>9</v>
      </c>
      <c r="AR14" s="131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1" t="s">
        <v>9</v>
      </c>
      <c r="BB14" s="131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1" t="s">
        <v>9</v>
      </c>
      <c r="BL14" s="131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1" t="s">
        <v>9</v>
      </c>
      <c r="BV14" s="131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1" t="s">
        <v>9</v>
      </c>
      <c r="CF14" s="131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1" t="s">
        <v>9</v>
      </c>
      <c r="CP14" s="131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1" t="s">
        <v>9</v>
      </c>
      <c r="CZ14" s="131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1" t="s">
        <v>9</v>
      </c>
      <c r="DJ14" s="131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1" t="s">
        <v>9</v>
      </c>
      <c r="DT14" s="131"/>
      <c r="DU14" s="19" t="str">
        <f>IF(DU9&lt;&gt;"",DU13/DU10,"")</f>
        <v/>
      </c>
    </row>
    <row r="15" spans="1:215" ht="13.25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5" customHeight="1" x14ac:dyDescent="0.2">
      <c r="A16" s="110" t="s">
        <v>38</v>
      </c>
      <c r="B16" s="132">
        <v>240</v>
      </c>
      <c r="C16" s="133"/>
      <c r="D16" s="134"/>
      <c r="E16" s="49" t="s">
        <v>12</v>
      </c>
      <c r="G16" s="135" t="s">
        <v>11</v>
      </c>
      <c r="H16" s="136" t="s">
        <v>44</v>
      </c>
      <c r="I16" s="138" t="s">
        <v>22</v>
      </c>
      <c r="J16" s="135" t="s">
        <v>14</v>
      </c>
      <c r="K16" s="135"/>
      <c r="L16" s="139" t="s">
        <v>5</v>
      </c>
      <c r="M16" s="140"/>
      <c r="N16" s="68" t="s">
        <v>4</v>
      </c>
      <c r="O16" s="142" t="s">
        <v>13</v>
      </c>
      <c r="Q16" s="135" t="s">
        <v>11</v>
      </c>
      <c r="R16" s="136" t="s">
        <v>44</v>
      </c>
      <c r="S16" s="138" t="s">
        <v>22</v>
      </c>
      <c r="T16" s="135" t="s">
        <v>14</v>
      </c>
      <c r="U16" s="135"/>
      <c r="V16" s="139" t="s">
        <v>5</v>
      </c>
      <c r="W16" s="140"/>
      <c r="X16" s="68" t="s">
        <v>4</v>
      </c>
      <c r="Y16" s="142" t="s">
        <v>13</v>
      </c>
      <c r="AA16" s="135" t="s">
        <v>11</v>
      </c>
      <c r="AB16" s="136" t="s">
        <v>44</v>
      </c>
      <c r="AC16" s="138" t="s">
        <v>22</v>
      </c>
      <c r="AD16" s="135" t="s">
        <v>14</v>
      </c>
      <c r="AE16" s="135"/>
      <c r="AF16" s="139" t="s">
        <v>5</v>
      </c>
      <c r="AG16" s="140"/>
      <c r="AH16" s="68" t="s">
        <v>4</v>
      </c>
      <c r="AI16" s="142" t="s">
        <v>13</v>
      </c>
      <c r="AK16" s="135" t="s">
        <v>11</v>
      </c>
      <c r="AL16" s="136" t="s">
        <v>44</v>
      </c>
      <c r="AM16" s="138" t="s">
        <v>22</v>
      </c>
      <c r="AN16" s="135" t="s">
        <v>14</v>
      </c>
      <c r="AO16" s="135"/>
      <c r="AP16" s="139" t="s">
        <v>5</v>
      </c>
      <c r="AQ16" s="140"/>
      <c r="AR16" s="68" t="s">
        <v>4</v>
      </c>
      <c r="AS16" s="142" t="s">
        <v>13</v>
      </c>
      <c r="AU16" s="135" t="s">
        <v>11</v>
      </c>
      <c r="AV16" s="136" t="s">
        <v>44</v>
      </c>
      <c r="AW16" s="138" t="s">
        <v>22</v>
      </c>
      <c r="AX16" s="135" t="s">
        <v>14</v>
      </c>
      <c r="AY16" s="135"/>
      <c r="AZ16" s="139" t="s">
        <v>5</v>
      </c>
      <c r="BA16" s="140"/>
      <c r="BB16" s="68" t="s">
        <v>4</v>
      </c>
      <c r="BC16" s="142" t="s">
        <v>13</v>
      </c>
      <c r="BE16" s="135" t="s">
        <v>11</v>
      </c>
      <c r="BF16" s="136" t="s">
        <v>44</v>
      </c>
      <c r="BG16" s="138" t="s">
        <v>22</v>
      </c>
      <c r="BH16" s="135" t="s">
        <v>14</v>
      </c>
      <c r="BI16" s="135"/>
      <c r="BJ16" s="139" t="s">
        <v>5</v>
      </c>
      <c r="BK16" s="140"/>
      <c r="BL16" s="68" t="s">
        <v>4</v>
      </c>
      <c r="BM16" s="142" t="s">
        <v>13</v>
      </c>
      <c r="BO16" s="135" t="s">
        <v>11</v>
      </c>
      <c r="BP16" s="136" t="s">
        <v>44</v>
      </c>
      <c r="BQ16" s="138" t="s">
        <v>22</v>
      </c>
      <c r="BR16" s="135" t="s">
        <v>14</v>
      </c>
      <c r="BS16" s="135"/>
      <c r="BT16" s="139" t="s">
        <v>5</v>
      </c>
      <c r="BU16" s="140"/>
      <c r="BV16" s="68" t="s">
        <v>4</v>
      </c>
      <c r="BW16" s="142" t="s">
        <v>13</v>
      </c>
      <c r="BY16" s="135" t="s">
        <v>11</v>
      </c>
      <c r="BZ16" s="136" t="s">
        <v>44</v>
      </c>
      <c r="CA16" s="138" t="s">
        <v>22</v>
      </c>
      <c r="CB16" s="135" t="s">
        <v>14</v>
      </c>
      <c r="CC16" s="135"/>
      <c r="CD16" s="139" t="s">
        <v>5</v>
      </c>
      <c r="CE16" s="140"/>
      <c r="CF16" s="68" t="s">
        <v>4</v>
      </c>
      <c r="CG16" s="142" t="s">
        <v>13</v>
      </c>
      <c r="CI16" s="135" t="s">
        <v>11</v>
      </c>
      <c r="CJ16" s="136" t="s">
        <v>44</v>
      </c>
      <c r="CK16" s="138" t="s">
        <v>22</v>
      </c>
      <c r="CL16" s="135" t="s">
        <v>14</v>
      </c>
      <c r="CM16" s="135"/>
      <c r="CN16" s="139" t="s">
        <v>5</v>
      </c>
      <c r="CO16" s="140"/>
      <c r="CP16" s="68" t="s">
        <v>4</v>
      </c>
      <c r="CQ16" s="142" t="s">
        <v>13</v>
      </c>
      <c r="CS16" s="135" t="s">
        <v>11</v>
      </c>
      <c r="CT16" s="136" t="s">
        <v>44</v>
      </c>
      <c r="CU16" s="138" t="s">
        <v>22</v>
      </c>
      <c r="CV16" s="135" t="s">
        <v>14</v>
      </c>
      <c r="CW16" s="135"/>
      <c r="CX16" s="139" t="s">
        <v>5</v>
      </c>
      <c r="CY16" s="140"/>
      <c r="CZ16" s="68" t="s">
        <v>4</v>
      </c>
      <c r="DA16" s="142" t="s">
        <v>13</v>
      </c>
      <c r="DC16" s="135" t="s">
        <v>11</v>
      </c>
      <c r="DD16" s="136" t="s">
        <v>44</v>
      </c>
      <c r="DE16" s="138" t="s">
        <v>22</v>
      </c>
      <c r="DF16" s="135" t="s">
        <v>14</v>
      </c>
      <c r="DG16" s="135"/>
      <c r="DH16" s="139" t="s">
        <v>5</v>
      </c>
      <c r="DI16" s="140"/>
      <c r="DJ16" s="68" t="s">
        <v>4</v>
      </c>
      <c r="DK16" s="142" t="s">
        <v>13</v>
      </c>
      <c r="DM16" s="135" t="s">
        <v>11</v>
      </c>
      <c r="DN16" s="136" t="s">
        <v>44</v>
      </c>
      <c r="DO16" s="138" t="s">
        <v>22</v>
      </c>
      <c r="DP16" s="135" t="s">
        <v>14</v>
      </c>
      <c r="DQ16" s="135"/>
      <c r="DR16" s="139" t="s">
        <v>5</v>
      </c>
      <c r="DS16" s="140"/>
      <c r="DT16" s="68" t="s">
        <v>4</v>
      </c>
      <c r="DU16" s="142" t="s">
        <v>13</v>
      </c>
    </row>
    <row r="17" spans="1:125" ht="13.25" customHeight="1" x14ac:dyDescent="0.2">
      <c r="G17" s="135"/>
      <c r="H17" s="137"/>
      <c r="I17" s="135"/>
      <c r="J17" s="68" t="s">
        <v>3</v>
      </c>
      <c r="K17" s="68" t="s">
        <v>12</v>
      </c>
      <c r="L17" s="141"/>
      <c r="M17" s="124"/>
      <c r="N17" s="1">
        <v>14.4</v>
      </c>
      <c r="O17" s="137"/>
      <c r="Q17" s="135"/>
      <c r="R17" s="137"/>
      <c r="S17" s="135"/>
      <c r="T17" s="68" t="s">
        <v>3</v>
      </c>
      <c r="U17" s="68" t="s">
        <v>12</v>
      </c>
      <c r="V17" s="141"/>
      <c r="W17" s="124"/>
      <c r="X17" s="1">
        <f>N43+5.3</f>
        <v>11.170000000000009</v>
      </c>
      <c r="Y17" s="137"/>
      <c r="AA17" s="135"/>
      <c r="AB17" s="137"/>
      <c r="AC17" s="135"/>
      <c r="AD17" s="68" t="s">
        <v>3</v>
      </c>
      <c r="AE17" s="68" t="s">
        <v>12</v>
      </c>
      <c r="AF17" s="141"/>
      <c r="AG17" s="124"/>
      <c r="AH17" s="1">
        <f>X35+5.3</f>
        <v>11.240000000000013</v>
      </c>
      <c r="AI17" s="137"/>
      <c r="AK17" s="135"/>
      <c r="AL17" s="137"/>
      <c r="AM17" s="135"/>
      <c r="AN17" s="68" t="s">
        <v>3</v>
      </c>
      <c r="AO17" s="68" t="s">
        <v>12</v>
      </c>
      <c r="AP17" s="141"/>
      <c r="AQ17" s="124"/>
      <c r="AR17" s="1">
        <f>AH41+5.3</f>
        <v>9.2100000000000186</v>
      </c>
      <c r="AS17" s="137"/>
      <c r="AU17" s="135"/>
      <c r="AV17" s="137"/>
      <c r="AW17" s="135"/>
      <c r="AX17" s="68" t="s">
        <v>3</v>
      </c>
      <c r="AY17" s="68" t="s">
        <v>12</v>
      </c>
      <c r="AZ17" s="141"/>
      <c r="BA17" s="124"/>
      <c r="BB17" s="1">
        <f>AR42+5.3</f>
        <v>6.8500000000000227</v>
      </c>
      <c r="BC17" s="137"/>
      <c r="BE17" s="135"/>
      <c r="BF17" s="137"/>
      <c r="BG17" s="135"/>
      <c r="BH17" s="68" t="s">
        <v>3</v>
      </c>
      <c r="BI17" s="68" t="s">
        <v>12</v>
      </c>
      <c r="BJ17" s="141"/>
      <c r="BK17" s="124"/>
      <c r="BL17" s="1">
        <f>BB33+5.3</f>
        <v>7.6200000000000241</v>
      </c>
      <c r="BM17" s="137"/>
      <c r="BO17" s="135"/>
      <c r="BP17" s="137"/>
      <c r="BQ17" s="135"/>
      <c r="BR17" s="68" t="s">
        <v>3</v>
      </c>
      <c r="BS17" s="68" t="s">
        <v>12</v>
      </c>
      <c r="BT17" s="141"/>
      <c r="BU17" s="124"/>
      <c r="BV17" s="1">
        <f>BL38+5.3</f>
        <v>6.6400000000000263</v>
      </c>
      <c r="BW17" s="137"/>
      <c r="BY17" s="135"/>
      <c r="BZ17" s="137"/>
      <c r="CA17" s="135"/>
      <c r="CB17" s="68" t="s">
        <v>3</v>
      </c>
      <c r="CC17" s="68" t="s">
        <v>12</v>
      </c>
      <c r="CD17" s="141"/>
      <c r="CE17" s="124"/>
      <c r="CF17" s="1">
        <f>BV37+5.3</f>
        <v>6.0100000000000273</v>
      </c>
      <c r="CG17" s="137"/>
      <c r="CI17" s="135"/>
      <c r="CJ17" s="137"/>
      <c r="CK17" s="135"/>
      <c r="CL17" s="68" t="s">
        <v>3</v>
      </c>
      <c r="CM17" s="68" t="s">
        <v>12</v>
      </c>
      <c r="CN17" s="141"/>
      <c r="CO17" s="124"/>
      <c r="CP17" s="1">
        <f>CF33+5.3</f>
        <v>6.7800000000000278</v>
      </c>
      <c r="CQ17" s="137"/>
      <c r="CS17" s="135"/>
      <c r="CT17" s="137"/>
      <c r="CU17" s="135"/>
      <c r="CV17" s="68" t="s">
        <v>3</v>
      </c>
      <c r="CW17" s="68" t="s">
        <v>12</v>
      </c>
      <c r="CX17" s="141"/>
      <c r="CY17" s="124"/>
      <c r="CZ17" s="1"/>
      <c r="DA17" s="137"/>
      <c r="DC17" s="135"/>
      <c r="DD17" s="137"/>
      <c r="DE17" s="135"/>
      <c r="DF17" s="68" t="s">
        <v>3</v>
      </c>
      <c r="DG17" s="68" t="s">
        <v>12</v>
      </c>
      <c r="DH17" s="141"/>
      <c r="DI17" s="124"/>
      <c r="DJ17" s="1"/>
      <c r="DK17" s="137"/>
      <c r="DM17" s="135"/>
      <c r="DN17" s="137"/>
      <c r="DO17" s="135"/>
      <c r="DP17" s="68" t="s">
        <v>3</v>
      </c>
      <c r="DQ17" s="68" t="s">
        <v>12</v>
      </c>
      <c r="DR17" s="141"/>
      <c r="DS17" s="124"/>
      <c r="DT17" s="1"/>
      <c r="DU17" s="137"/>
    </row>
    <row r="18" spans="1:125" ht="13.25" customHeight="1" x14ac:dyDescent="0.2">
      <c r="G18" s="13" t="s">
        <v>24</v>
      </c>
      <c r="H18" s="26" t="s">
        <v>10</v>
      </c>
      <c r="I18" s="14" t="s">
        <v>10</v>
      </c>
      <c r="J18" s="30"/>
      <c r="K18" s="30"/>
      <c r="L18" s="143">
        <v>0.26</v>
      </c>
      <c r="M18" s="143"/>
      <c r="N18" s="96">
        <f>IF(L18="","",N17-L18)</f>
        <v>14.14</v>
      </c>
      <c r="O18" s="144"/>
      <c r="Q18" s="37"/>
      <c r="R18" s="38"/>
      <c r="S18" s="39"/>
      <c r="T18" s="40"/>
      <c r="U18" s="40"/>
      <c r="V18" s="146"/>
      <c r="W18" s="146"/>
      <c r="X18" s="97" t="str">
        <f>IF(V18="","",X17-V18)</f>
        <v/>
      </c>
      <c r="Y18" s="144"/>
      <c r="AA18" s="37"/>
      <c r="AB18" s="38"/>
      <c r="AC18" s="39"/>
      <c r="AD18" s="40"/>
      <c r="AE18" s="40"/>
      <c r="AF18" s="146"/>
      <c r="AG18" s="146"/>
      <c r="AH18" s="97" t="str">
        <f>IF(AF18="","",AH17-AF18)</f>
        <v/>
      </c>
      <c r="AI18" s="144"/>
      <c r="AK18" s="37"/>
      <c r="AL18" s="38"/>
      <c r="AM18" s="39"/>
      <c r="AN18" s="40"/>
      <c r="AO18" s="40"/>
      <c r="AP18" s="146"/>
      <c r="AQ18" s="146"/>
      <c r="AR18" s="97" t="str">
        <f>IF(AP18="","",AR17-AP18)</f>
        <v/>
      </c>
      <c r="AS18" s="144"/>
      <c r="AU18" s="37"/>
      <c r="AV18" s="38"/>
      <c r="AW18" s="39"/>
      <c r="AX18" s="40"/>
      <c r="AY18" s="40"/>
      <c r="AZ18" s="146"/>
      <c r="BA18" s="146"/>
      <c r="BB18" s="97" t="str">
        <f>IF(AZ18="","",BB17-AZ18)</f>
        <v/>
      </c>
      <c r="BC18" s="144"/>
      <c r="BE18" s="37"/>
      <c r="BF18" s="38"/>
      <c r="BG18" s="39"/>
      <c r="BH18" s="40"/>
      <c r="BI18" s="40"/>
      <c r="BJ18" s="146"/>
      <c r="BK18" s="146"/>
      <c r="BL18" s="97" t="str">
        <f>IF(BJ18="","",BL17-BJ18)</f>
        <v/>
      </c>
      <c r="BM18" s="144"/>
      <c r="BO18" s="37"/>
      <c r="BP18" s="38"/>
      <c r="BQ18" s="39"/>
      <c r="BR18" s="40"/>
      <c r="BS18" s="40"/>
      <c r="BT18" s="146"/>
      <c r="BU18" s="146"/>
      <c r="BV18" s="97" t="str">
        <f>IF(BT18="","",BV17-BT18)</f>
        <v/>
      </c>
      <c r="BW18" s="144"/>
      <c r="BY18" s="37"/>
      <c r="BZ18" s="38"/>
      <c r="CA18" s="39"/>
      <c r="CB18" s="40"/>
      <c r="CC18" s="40"/>
      <c r="CD18" s="146"/>
      <c r="CE18" s="146"/>
      <c r="CF18" s="97" t="str">
        <f>IF(CD18="","",CF17-CD18)</f>
        <v/>
      </c>
      <c r="CG18" s="144"/>
      <c r="CI18" s="37"/>
      <c r="CJ18" s="38"/>
      <c r="CK18" s="39"/>
      <c r="CL18" s="40"/>
      <c r="CM18" s="40"/>
      <c r="CN18" s="146"/>
      <c r="CO18" s="146"/>
      <c r="CP18" s="97" t="str">
        <f>IF(CN18="","",CP17-CN18)</f>
        <v/>
      </c>
      <c r="CQ18" s="144"/>
      <c r="CS18" s="37"/>
      <c r="CT18" s="38"/>
      <c r="CU18" s="39"/>
      <c r="CV18" s="40"/>
      <c r="CW18" s="40"/>
      <c r="CX18" s="146"/>
      <c r="CY18" s="146"/>
      <c r="CZ18" s="97" t="str">
        <f>IF(CX18="","",CZ17-CX18)</f>
        <v/>
      </c>
      <c r="DA18" s="144"/>
      <c r="DC18" s="37"/>
      <c r="DD18" s="38"/>
      <c r="DE18" s="39"/>
      <c r="DF18" s="40"/>
      <c r="DG18" s="40"/>
      <c r="DH18" s="146"/>
      <c r="DI18" s="146"/>
      <c r="DJ18" s="97" t="str">
        <f>IF(DH18="","",DJ17-DH18)</f>
        <v/>
      </c>
      <c r="DK18" s="144"/>
      <c r="DM18" s="37"/>
      <c r="DN18" s="38"/>
      <c r="DO18" s="39"/>
      <c r="DP18" s="40"/>
      <c r="DQ18" s="40"/>
      <c r="DR18" s="146"/>
      <c r="DS18" s="146"/>
      <c r="DT18" s="97" t="str">
        <f>IF(DR18="","",DT17-DR18)</f>
        <v/>
      </c>
      <c r="DU18" s="144"/>
    </row>
    <row r="19" spans="1:125" ht="13.25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48">
        <v>0.26</v>
      </c>
      <c r="M19" s="148"/>
      <c r="N19" s="98">
        <f t="shared" ref="N19:N60" si="0">IF(L19="","",N18-L19)</f>
        <v>13.88</v>
      </c>
      <c r="O19" s="145"/>
      <c r="Q19" s="41"/>
      <c r="R19" s="42"/>
      <c r="S19" s="43"/>
      <c r="T19" s="44"/>
      <c r="U19" s="44"/>
      <c r="V19" s="147"/>
      <c r="W19" s="147"/>
      <c r="X19" s="99" t="str">
        <f t="shared" ref="X19:X60" si="1">IF(V19="","",X18-V19)</f>
        <v/>
      </c>
      <c r="Y19" s="145"/>
      <c r="AA19" s="41"/>
      <c r="AB19" s="42"/>
      <c r="AC19" s="43"/>
      <c r="AD19" s="44"/>
      <c r="AE19" s="44"/>
      <c r="AF19" s="147"/>
      <c r="AG19" s="147"/>
      <c r="AH19" s="99" t="str">
        <f>IF(AF19="","",AH18-AF19)</f>
        <v/>
      </c>
      <c r="AI19" s="145"/>
      <c r="AK19" s="41"/>
      <c r="AL19" s="42"/>
      <c r="AM19" s="43"/>
      <c r="AN19" s="44"/>
      <c r="AO19" s="44"/>
      <c r="AP19" s="147"/>
      <c r="AQ19" s="147"/>
      <c r="AR19" s="99" t="str">
        <f>IF(AP19="","",AR18-AP19)</f>
        <v/>
      </c>
      <c r="AS19" s="145"/>
      <c r="AU19" s="41"/>
      <c r="AV19" s="42"/>
      <c r="AW19" s="43"/>
      <c r="AX19" s="44"/>
      <c r="AY19" s="44"/>
      <c r="AZ19" s="147"/>
      <c r="BA19" s="147"/>
      <c r="BB19" s="99" t="str">
        <f>IF(AZ19="","",BB18-AZ19)</f>
        <v/>
      </c>
      <c r="BC19" s="145"/>
      <c r="BE19" s="41"/>
      <c r="BF19" s="42"/>
      <c r="BG19" s="43"/>
      <c r="BH19" s="44"/>
      <c r="BI19" s="44"/>
      <c r="BJ19" s="147"/>
      <c r="BK19" s="147"/>
      <c r="BL19" s="99" t="str">
        <f>IF(BJ19="","",BL18-BJ19)</f>
        <v/>
      </c>
      <c r="BM19" s="145"/>
      <c r="BO19" s="41"/>
      <c r="BP19" s="42"/>
      <c r="BQ19" s="43"/>
      <c r="BR19" s="44"/>
      <c r="BS19" s="44"/>
      <c r="BT19" s="147"/>
      <c r="BU19" s="147"/>
      <c r="BV19" s="99" t="str">
        <f>IF(BT19="","",BV18-BT19)</f>
        <v/>
      </c>
      <c r="BW19" s="145"/>
      <c r="BY19" s="41"/>
      <c r="BZ19" s="42"/>
      <c r="CA19" s="43"/>
      <c r="CB19" s="44"/>
      <c r="CC19" s="44"/>
      <c r="CD19" s="147"/>
      <c r="CE19" s="147"/>
      <c r="CF19" s="99" t="str">
        <f>IF(CD19="","",CF18-CD19)</f>
        <v/>
      </c>
      <c r="CG19" s="145"/>
      <c r="CI19" s="41"/>
      <c r="CJ19" s="42"/>
      <c r="CK19" s="43"/>
      <c r="CL19" s="44"/>
      <c r="CM19" s="44"/>
      <c r="CN19" s="147"/>
      <c r="CO19" s="147"/>
      <c r="CP19" s="99" t="str">
        <f>IF(CN19="","",CP18-CN19)</f>
        <v/>
      </c>
      <c r="CQ19" s="145"/>
      <c r="CS19" s="41"/>
      <c r="CT19" s="42"/>
      <c r="CU19" s="43"/>
      <c r="CV19" s="44"/>
      <c r="CW19" s="44"/>
      <c r="CX19" s="147"/>
      <c r="CY19" s="147"/>
      <c r="CZ19" s="99" t="str">
        <f>IF(CX19="","",CZ18-CX19)</f>
        <v/>
      </c>
      <c r="DA19" s="145"/>
      <c r="DC19" s="41"/>
      <c r="DD19" s="42"/>
      <c r="DE19" s="43"/>
      <c r="DF19" s="44"/>
      <c r="DG19" s="44"/>
      <c r="DH19" s="147"/>
      <c r="DI19" s="147"/>
      <c r="DJ19" s="99" t="str">
        <f>IF(DH19="","",DJ18-DH19)</f>
        <v/>
      </c>
      <c r="DK19" s="145"/>
      <c r="DM19" s="41"/>
      <c r="DN19" s="42"/>
      <c r="DO19" s="43"/>
      <c r="DP19" s="44"/>
      <c r="DQ19" s="44"/>
      <c r="DR19" s="147"/>
      <c r="DS19" s="147"/>
      <c r="DT19" s="99" t="str">
        <f>IF(DR19="","",DT18-DR19)</f>
        <v/>
      </c>
      <c r="DU19" s="145"/>
    </row>
    <row r="20" spans="1:125" ht="13.25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48">
        <v>0</v>
      </c>
      <c r="M20" s="148"/>
      <c r="N20" s="98">
        <f t="shared" si="0"/>
        <v>13.88</v>
      </c>
      <c r="O20" s="145"/>
      <c r="Q20" s="4" t="s">
        <v>29</v>
      </c>
      <c r="R20" s="27" t="s">
        <v>10</v>
      </c>
      <c r="S20" s="5" t="s">
        <v>10</v>
      </c>
      <c r="T20" s="112"/>
      <c r="U20" s="116">
        <v>240</v>
      </c>
      <c r="V20" s="148" t="s">
        <v>10</v>
      </c>
      <c r="W20" s="148"/>
      <c r="X20" s="98">
        <f>X17</f>
        <v>11.170000000000009</v>
      </c>
      <c r="Y20" s="145"/>
      <c r="AA20" s="4" t="s">
        <v>29</v>
      </c>
      <c r="AB20" s="27" t="s">
        <v>10</v>
      </c>
      <c r="AC20" s="5" t="s">
        <v>10</v>
      </c>
      <c r="AD20" s="34"/>
      <c r="AE20" s="116">
        <v>240</v>
      </c>
      <c r="AF20" s="148" t="s">
        <v>10</v>
      </c>
      <c r="AG20" s="148"/>
      <c r="AH20" s="98">
        <f>AH17</f>
        <v>11.240000000000013</v>
      </c>
      <c r="AI20" s="145"/>
      <c r="AK20" s="4" t="s">
        <v>29</v>
      </c>
      <c r="AL20" s="27" t="s">
        <v>10</v>
      </c>
      <c r="AM20" s="5" t="s">
        <v>10</v>
      </c>
      <c r="AN20" s="34"/>
      <c r="AO20" s="116"/>
      <c r="AP20" s="148" t="s">
        <v>10</v>
      </c>
      <c r="AQ20" s="148"/>
      <c r="AR20" s="98">
        <f>AR17</f>
        <v>9.2100000000000186</v>
      </c>
      <c r="AS20" s="145"/>
      <c r="AU20" s="4" t="s">
        <v>29</v>
      </c>
      <c r="AV20" s="27" t="s">
        <v>10</v>
      </c>
      <c r="AW20" s="5" t="s">
        <v>10</v>
      </c>
      <c r="AX20" s="34"/>
      <c r="AY20" s="116"/>
      <c r="AZ20" s="148" t="s">
        <v>10</v>
      </c>
      <c r="BA20" s="148"/>
      <c r="BB20" s="98">
        <f>BB17</f>
        <v>6.8500000000000227</v>
      </c>
      <c r="BC20" s="145"/>
      <c r="BE20" s="4" t="s">
        <v>29</v>
      </c>
      <c r="BF20" s="27" t="s">
        <v>10</v>
      </c>
      <c r="BG20" s="5" t="s">
        <v>10</v>
      </c>
      <c r="BH20" s="34"/>
      <c r="BI20" s="116"/>
      <c r="BJ20" s="148" t="s">
        <v>10</v>
      </c>
      <c r="BK20" s="148"/>
      <c r="BL20" s="98">
        <f>BL17</f>
        <v>7.6200000000000241</v>
      </c>
      <c r="BM20" s="145"/>
      <c r="BO20" s="4" t="s">
        <v>29</v>
      </c>
      <c r="BP20" s="27" t="s">
        <v>10</v>
      </c>
      <c r="BQ20" s="5" t="s">
        <v>10</v>
      </c>
      <c r="BR20" s="34"/>
      <c r="BS20" s="116"/>
      <c r="BT20" s="148" t="s">
        <v>10</v>
      </c>
      <c r="BU20" s="148"/>
      <c r="BV20" s="98">
        <f>BV17</f>
        <v>6.6400000000000263</v>
      </c>
      <c r="BW20" s="145"/>
      <c r="BY20" s="4" t="s">
        <v>29</v>
      </c>
      <c r="BZ20" s="27" t="s">
        <v>10</v>
      </c>
      <c r="CA20" s="5" t="s">
        <v>10</v>
      </c>
      <c r="CB20" s="34"/>
      <c r="CC20" s="116"/>
      <c r="CD20" s="148" t="s">
        <v>10</v>
      </c>
      <c r="CE20" s="148"/>
      <c r="CF20" s="98">
        <f>CF17</f>
        <v>6.0100000000000273</v>
      </c>
      <c r="CG20" s="145"/>
      <c r="CI20" s="4" t="s">
        <v>29</v>
      </c>
      <c r="CJ20" s="27" t="s">
        <v>10</v>
      </c>
      <c r="CK20" s="5" t="s">
        <v>10</v>
      </c>
      <c r="CL20" s="34"/>
      <c r="CM20" s="116"/>
      <c r="CN20" s="148" t="s">
        <v>10</v>
      </c>
      <c r="CO20" s="148"/>
      <c r="CP20" s="98">
        <f>CP17</f>
        <v>6.7800000000000278</v>
      </c>
      <c r="CQ20" s="145"/>
      <c r="CS20" s="4" t="s">
        <v>29</v>
      </c>
      <c r="CT20" s="27" t="s">
        <v>10</v>
      </c>
      <c r="CU20" s="5" t="s">
        <v>10</v>
      </c>
      <c r="CV20" s="34"/>
      <c r="CW20" s="46"/>
      <c r="CX20" s="148" t="s">
        <v>10</v>
      </c>
      <c r="CY20" s="148"/>
      <c r="CZ20" s="98">
        <f>CZ17</f>
        <v>0</v>
      </c>
      <c r="DA20" s="145"/>
      <c r="DC20" s="4" t="s">
        <v>29</v>
      </c>
      <c r="DD20" s="27" t="s">
        <v>10</v>
      </c>
      <c r="DE20" s="5" t="s">
        <v>10</v>
      </c>
      <c r="DF20" s="34"/>
      <c r="DG20" s="46"/>
      <c r="DH20" s="148" t="s">
        <v>10</v>
      </c>
      <c r="DI20" s="148"/>
      <c r="DJ20" s="98">
        <f>DJ17</f>
        <v>0</v>
      </c>
      <c r="DK20" s="145"/>
      <c r="DM20" s="4" t="s">
        <v>29</v>
      </c>
      <c r="DN20" s="27" t="s">
        <v>10</v>
      </c>
      <c r="DO20" s="5" t="s">
        <v>10</v>
      </c>
      <c r="DP20" s="34"/>
      <c r="DQ20" s="46"/>
      <c r="DR20" s="148" t="s">
        <v>10</v>
      </c>
      <c r="DS20" s="148"/>
      <c r="DT20" s="98">
        <f>DT17</f>
        <v>0</v>
      </c>
      <c r="DU20" s="145"/>
    </row>
    <row r="21" spans="1:125" ht="13.25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100</v>
      </c>
      <c r="J21" s="34">
        <v>2</v>
      </c>
      <c r="K21" s="32">
        <v>40</v>
      </c>
      <c r="L21" s="148">
        <f>燃料消費量!$L$3</f>
        <v>0.33</v>
      </c>
      <c r="M21" s="148"/>
      <c r="N21" s="98">
        <f t="shared" si="0"/>
        <v>13.55</v>
      </c>
      <c r="O21" s="7">
        <f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40</v>
      </c>
      <c r="V21" s="148">
        <f>燃料消費量!$L$3</f>
        <v>0.33</v>
      </c>
      <c r="W21" s="148"/>
      <c r="X21" s="98">
        <f>IF(V21="","",X20-V21)</f>
        <v>10.840000000000009</v>
      </c>
      <c r="Y21" s="7">
        <f t="shared" ref="Y21:Y37" si="2">X21/V21</f>
        <v>32.848484848484873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40</v>
      </c>
      <c r="AF21" s="148">
        <f>燃料消費量!$L$3</f>
        <v>0.33</v>
      </c>
      <c r="AG21" s="148"/>
      <c r="AH21" s="98">
        <f>IF(AF21="","",AH20-AF21)</f>
        <v>10.910000000000013</v>
      </c>
      <c r="AI21" s="7">
        <f t="shared" ref="AI21:AI42" si="3">AH21/AF21</f>
        <v>33.060606060606098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40</v>
      </c>
      <c r="AP21" s="148">
        <f>燃料消費量!$L$3</f>
        <v>0.33</v>
      </c>
      <c r="AQ21" s="148"/>
      <c r="AR21" s="98">
        <f>IF(AP21="","",AR20-AP21)</f>
        <v>8.8800000000000185</v>
      </c>
      <c r="AS21" s="7">
        <f t="shared" ref="AS21:AS42" si="4">AR21/AP21</f>
        <v>26.909090909090963</v>
      </c>
      <c r="AT21" s="3"/>
      <c r="AU21" s="6">
        <v>1</v>
      </c>
      <c r="AV21" s="36" t="s">
        <v>98</v>
      </c>
      <c r="AW21" s="36" t="s">
        <v>99</v>
      </c>
      <c r="AX21" s="34">
        <v>2</v>
      </c>
      <c r="AY21" s="32">
        <v>40</v>
      </c>
      <c r="AZ21" s="148">
        <f>燃料消費量!$L$3</f>
        <v>0.33</v>
      </c>
      <c r="BA21" s="148"/>
      <c r="BB21" s="98">
        <f>IF(AZ21="","",BB20-AZ21)</f>
        <v>6.5200000000000227</v>
      </c>
      <c r="BC21" s="7">
        <f t="shared" ref="BC21:BC38" si="5">BB21/AZ21</f>
        <v>19.757575757575825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40</v>
      </c>
      <c r="BJ21" s="148">
        <f>燃料消費量!$L$3</f>
        <v>0.33</v>
      </c>
      <c r="BK21" s="148"/>
      <c r="BL21" s="98">
        <f>IF(BJ21="","",BL20-BJ21)</f>
        <v>7.290000000000024</v>
      </c>
      <c r="BM21" s="7">
        <f t="shared" ref="BM21:BM38" si="6">BL21/BJ21</f>
        <v>22.090909090909161</v>
      </c>
      <c r="BO21" s="6">
        <v>1</v>
      </c>
      <c r="BP21" s="36" t="s">
        <v>98</v>
      </c>
      <c r="BQ21" s="36" t="s">
        <v>100</v>
      </c>
      <c r="BR21" s="34">
        <v>2</v>
      </c>
      <c r="BS21" s="32">
        <v>40</v>
      </c>
      <c r="BT21" s="148">
        <f>燃料消費量!$L$3</f>
        <v>0.33</v>
      </c>
      <c r="BU21" s="148"/>
      <c r="BV21" s="98">
        <f>IF(BT21="","",BV20-BT21)</f>
        <v>6.3100000000000263</v>
      </c>
      <c r="BW21" s="7">
        <f t="shared" ref="BW21:BW26" si="7">BV21/BT21</f>
        <v>19.121212121212199</v>
      </c>
      <c r="BY21" s="6">
        <v>1</v>
      </c>
      <c r="BZ21" s="36" t="s">
        <v>106</v>
      </c>
      <c r="CA21" s="36" t="s">
        <v>6</v>
      </c>
      <c r="CB21" s="34">
        <v>2</v>
      </c>
      <c r="CC21" s="32">
        <v>40</v>
      </c>
      <c r="CD21" s="148">
        <f>燃料消費量!$L$3</f>
        <v>0.33</v>
      </c>
      <c r="CE21" s="148"/>
      <c r="CF21" s="98">
        <f>IF(CD21="","",CF20-CD21)</f>
        <v>5.6800000000000272</v>
      </c>
      <c r="CG21" s="7">
        <f>CF21/CD21</f>
        <v>17.212121212121293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44</v>
      </c>
      <c r="CN21" s="148">
        <f>燃料消費量!$L$3</f>
        <v>0.33</v>
      </c>
      <c r="CO21" s="148"/>
      <c r="CP21" s="98">
        <f>IF(CN21="","",CP20-CN21)</f>
        <v>6.4500000000000277</v>
      </c>
      <c r="CQ21" s="7">
        <f>CP21/CN21</f>
        <v>19.545454545454628</v>
      </c>
      <c r="CS21" s="6">
        <v>1</v>
      </c>
      <c r="CT21" s="36"/>
      <c r="CU21" s="36"/>
      <c r="CV21" s="34"/>
      <c r="CW21" s="32"/>
      <c r="CX21" s="148" t="str">
        <f>IF(CT21="IN",CV$12,IF(CT21="OUT",CV$10,IF(CU21="D",CU$10,IF(CU21="W",CU$11,IF(CU21="SC",CU$12,IF(CU21="EX1",CU$13,IF(CU21="EX2",CU$14,"")))))))</f>
        <v/>
      </c>
      <c r="CY21" s="148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48" t="str">
        <f>IF(DD21="IN",DF$12,IF(DD21="OUT",DF$10,IF(DE21="D",DE$10,IF(DE21="W",DE$11,IF(DE21="SC",DE$12,IF(DE21="EX1",DE$13,IF(DE21="EX2",DE$14,"")))))))</f>
        <v/>
      </c>
      <c r="DI21" s="148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48" t="str">
        <f>IF(DN21="IN",DP$12,IF(DN21="OUT",DP$10,IF(DO21="D",DO$10,IF(DO21="W",DO$11,IF(DO21="SC",DO$12,IF(DO21="EX1",DO$13,IF(DO21="EX2",DO$14,"")))))))</f>
        <v/>
      </c>
      <c r="DS21" s="148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100</v>
      </c>
      <c r="J22" s="34">
        <v>2</v>
      </c>
      <c r="K22" s="32">
        <v>30</v>
      </c>
      <c r="L22" s="148">
        <f>燃料消費量!$B$27</f>
        <v>0.35</v>
      </c>
      <c r="M22" s="148"/>
      <c r="N22" s="98">
        <f t="shared" si="0"/>
        <v>13.200000000000001</v>
      </c>
      <c r="O22" s="7">
        <f>N22/L22</f>
        <v>37.714285714285722</v>
      </c>
      <c r="Q22" s="6">
        <v>2</v>
      </c>
      <c r="R22" s="36"/>
      <c r="S22" s="36" t="s">
        <v>100</v>
      </c>
      <c r="T22" s="34">
        <v>2</v>
      </c>
      <c r="U22" s="32">
        <v>30</v>
      </c>
      <c r="V22" s="148">
        <f>燃料消費量!$C$27</f>
        <v>0.35</v>
      </c>
      <c r="W22" s="148"/>
      <c r="X22" s="98">
        <f t="shared" si="1"/>
        <v>10.490000000000009</v>
      </c>
      <c r="Y22" s="7">
        <f t="shared" si="2"/>
        <v>29.9714285714286</v>
      </c>
      <c r="AA22" s="6">
        <v>2</v>
      </c>
      <c r="AB22" s="36"/>
      <c r="AC22" s="36" t="s">
        <v>6</v>
      </c>
      <c r="AD22" s="34">
        <v>2</v>
      </c>
      <c r="AE22" s="32">
        <v>30</v>
      </c>
      <c r="AF22" s="148">
        <f>燃料消費量!$D$37</f>
        <v>0.35</v>
      </c>
      <c r="AG22" s="148"/>
      <c r="AH22" s="98">
        <f t="shared" ref="AH22:AH60" si="8">IF(AF22="","",AH21-AF22)</f>
        <v>10.560000000000013</v>
      </c>
      <c r="AI22" s="7">
        <f t="shared" si="3"/>
        <v>30.17142857142861</v>
      </c>
      <c r="AK22" s="6">
        <v>2</v>
      </c>
      <c r="AL22" s="36"/>
      <c r="AM22" s="36" t="s">
        <v>99</v>
      </c>
      <c r="AN22" s="34">
        <v>2</v>
      </c>
      <c r="AO22" s="32">
        <v>30</v>
      </c>
      <c r="AP22" s="148">
        <f>燃料消費量!$B$27</f>
        <v>0.35</v>
      </c>
      <c r="AQ22" s="148"/>
      <c r="AR22" s="98">
        <f t="shared" ref="AR22:AR60" si="9">IF(AP22="","",AR21-AP22)</f>
        <v>8.5300000000000189</v>
      </c>
      <c r="AS22" s="7">
        <f t="shared" si="4"/>
        <v>24.371428571428627</v>
      </c>
      <c r="AT22" s="3"/>
      <c r="AU22" s="6">
        <v>2</v>
      </c>
      <c r="AV22" s="36"/>
      <c r="AW22" s="36" t="s">
        <v>6</v>
      </c>
      <c r="AX22" s="34">
        <v>2</v>
      </c>
      <c r="AY22" s="32">
        <v>30</v>
      </c>
      <c r="AZ22" s="148">
        <f>燃料消費量!$C$27</f>
        <v>0.35</v>
      </c>
      <c r="BA22" s="148"/>
      <c r="BB22" s="98">
        <f t="shared" ref="BB22:BB60" si="10">IF(AZ22="","",BB21-AZ22)</f>
        <v>6.170000000000023</v>
      </c>
      <c r="BC22" s="7">
        <f t="shared" si="5"/>
        <v>17.628571428571494</v>
      </c>
      <c r="BE22" s="6">
        <v>2</v>
      </c>
      <c r="BF22" s="36"/>
      <c r="BG22" s="36" t="s">
        <v>100</v>
      </c>
      <c r="BH22" s="34">
        <v>2</v>
      </c>
      <c r="BI22" s="32">
        <v>30</v>
      </c>
      <c r="BJ22" s="148">
        <f>燃料消費量!$D$27</f>
        <v>0.35</v>
      </c>
      <c r="BK22" s="148"/>
      <c r="BL22" s="98">
        <f t="shared" ref="BL22:BL60" si="11">IF(BJ22="","",BL21-BJ22)</f>
        <v>6.9400000000000244</v>
      </c>
      <c r="BM22" s="7">
        <f t="shared" si="6"/>
        <v>19.8285714285715</v>
      </c>
      <c r="BO22" s="6">
        <v>2</v>
      </c>
      <c r="BP22" s="36"/>
      <c r="BQ22" s="36" t="s">
        <v>104</v>
      </c>
      <c r="BR22" s="34">
        <v>2</v>
      </c>
      <c r="BS22" s="32">
        <v>30</v>
      </c>
      <c r="BT22" s="148">
        <f>燃料消費量!$B$47</f>
        <v>0.35</v>
      </c>
      <c r="BU22" s="148"/>
      <c r="BV22" s="98">
        <f t="shared" ref="BV22:BV60" si="12">IF(BT22="","",BV21-BT22)</f>
        <v>5.9600000000000266</v>
      </c>
      <c r="BW22" s="7">
        <f t="shared" si="7"/>
        <v>17.028571428571507</v>
      </c>
      <c r="BY22" s="6">
        <v>2</v>
      </c>
      <c r="BZ22" s="36"/>
      <c r="CA22" s="36" t="s">
        <v>6</v>
      </c>
      <c r="CB22" s="34">
        <v>2</v>
      </c>
      <c r="CC22" s="32">
        <v>30</v>
      </c>
      <c r="CD22" s="148">
        <f>燃料消費量!$B$33</f>
        <v>0.35</v>
      </c>
      <c r="CE22" s="148"/>
      <c r="CF22" s="98">
        <f t="shared" ref="CF22:CF60" si="13">IF(CD22="","",CF21-CD22)</f>
        <v>5.3300000000000276</v>
      </c>
      <c r="CG22" s="7">
        <f t="shared" ref="CG22:CG34" si="14">CF22/CD22</f>
        <v>15.228571428571508</v>
      </c>
      <c r="CI22" s="6">
        <v>2</v>
      </c>
      <c r="CJ22" s="36"/>
      <c r="CK22" s="36" t="s">
        <v>99</v>
      </c>
      <c r="CL22" s="34">
        <v>2</v>
      </c>
      <c r="CM22" s="32">
        <v>34</v>
      </c>
      <c r="CN22" s="148">
        <f>燃料消費量!$L$3</f>
        <v>0.33</v>
      </c>
      <c r="CO22" s="148"/>
      <c r="CP22" s="98">
        <f>IF(CN22="","",CP21-CN22)</f>
        <v>6.1200000000000276</v>
      </c>
      <c r="CQ22" s="7">
        <f>CP22/CN22</f>
        <v>18.545454545454628</v>
      </c>
      <c r="CS22" s="6">
        <v>2</v>
      </c>
      <c r="CT22" s="36"/>
      <c r="CU22" s="36"/>
      <c r="CV22" s="34"/>
      <c r="CW22" s="32"/>
      <c r="CX22" s="148" t="str">
        <f t="shared" ref="CX22:CX60" si="15">IF(CT22="IN",CV$12,IF(CT22="OUT",CV$10,IF(CU22="D",CU$10,IF(CU22="W",CU$11,IF(CU22="SC",CU$12,IF(CU22="EX1",CU$13,IF(CU22="EX2",CU$14,"")))))))</f>
        <v/>
      </c>
      <c r="CY22" s="148"/>
      <c r="CZ22" s="98" t="str">
        <f t="shared" ref="CZ22:CZ60" si="16">IF(CX22="","",CZ21-CX22)</f>
        <v/>
      </c>
      <c r="DA22" s="7" t="str">
        <f t="shared" ref="DA22:DA60" si="17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48" t="str">
        <f t="shared" ref="DH22:DH60" si="18">IF(DD22="IN",DF$12,IF(DD22="OUT",DF$10,IF(DE22="D",DE$10,IF(DE22="W",DE$11,IF(DE22="SC",DE$12,IF(DE22="EX1",DE$13,IF(DE22="EX2",DE$14,"")))))))</f>
        <v/>
      </c>
      <c r="DI22" s="148"/>
      <c r="DJ22" s="98" t="str">
        <f t="shared" ref="DJ22:DJ60" si="19">IF(DH22="","",DJ21-DH22)</f>
        <v/>
      </c>
      <c r="DK22" s="7" t="str">
        <f t="shared" ref="DK22:DK60" si="20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48" t="str">
        <f t="shared" ref="DR22:DR60" si="21">IF(DN22="IN",DP$12,IF(DN22="OUT",DP$10,IF(DO22="D",DO$10,IF(DO22="W",DO$11,IF(DO22="SC",DO$12,IF(DO22="EX1",DO$13,IF(DO22="EX2",DO$14,"")))))))</f>
        <v/>
      </c>
      <c r="DS22" s="148"/>
      <c r="DT22" s="98" t="str">
        <f t="shared" ref="DT22:DT60" si="22">IF(DR22="","",DT21-DR22)</f>
        <v/>
      </c>
      <c r="DU22" s="7" t="str">
        <f t="shared" ref="DU22:DU60" si="23">IF(DO22="D",DT22/$DO$10,IF(DO22="W",DT22/$DO$11,IF(DO22="SC",DT22/$DO$12,IF(DO22="EX1",DT22/$DO$13,IF(DO22="EX2",DT22/$DO$14,"")))))</f>
        <v/>
      </c>
    </row>
    <row r="23" spans="1:125" ht="13.25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100</v>
      </c>
      <c r="J23" s="34">
        <v>2</v>
      </c>
      <c r="K23" s="32">
        <v>21</v>
      </c>
      <c r="L23" s="148">
        <f>燃料消費量!$B$17</f>
        <v>0.35</v>
      </c>
      <c r="M23" s="148"/>
      <c r="N23" s="98">
        <f t="shared" si="0"/>
        <v>12.850000000000001</v>
      </c>
      <c r="O23" s="7">
        <f t="shared" ref="O23:O38" si="24">N23/L23</f>
        <v>36.714285714285722</v>
      </c>
      <c r="Q23" s="6">
        <v>3</v>
      </c>
      <c r="R23" s="36"/>
      <c r="S23" s="36" t="s">
        <v>100</v>
      </c>
      <c r="T23" s="34">
        <v>2</v>
      </c>
      <c r="U23" s="32">
        <v>24</v>
      </c>
      <c r="V23" s="148">
        <f>燃料消費量!$C$15</f>
        <v>0.35</v>
      </c>
      <c r="W23" s="148"/>
      <c r="X23" s="98">
        <f t="shared" si="1"/>
        <v>10.140000000000009</v>
      </c>
      <c r="Y23" s="7">
        <f t="shared" si="2"/>
        <v>28.9714285714286</v>
      </c>
      <c r="AA23" s="6">
        <v>3</v>
      </c>
      <c r="AB23" s="36"/>
      <c r="AC23" s="36" t="s">
        <v>6</v>
      </c>
      <c r="AD23" s="34">
        <v>2</v>
      </c>
      <c r="AE23" s="32">
        <v>22</v>
      </c>
      <c r="AF23" s="148">
        <f>燃料消費量!$D$21</f>
        <v>0.35</v>
      </c>
      <c r="AG23" s="148"/>
      <c r="AH23" s="98">
        <f t="shared" si="8"/>
        <v>10.210000000000013</v>
      </c>
      <c r="AI23" s="7">
        <f t="shared" si="3"/>
        <v>29.17142857142861</v>
      </c>
      <c r="AK23" s="6">
        <v>3</v>
      </c>
      <c r="AL23" s="36"/>
      <c r="AM23" s="36" t="s">
        <v>99</v>
      </c>
      <c r="AN23" s="34">
        <v>2</v>
      </c>
      <c r="AO23" s="32">
        <v>21</v>
      </c>
      <c r="AP23" s="148">
        <f>燃料消費量!$B$17</f>
        <v>0.35</v>
      </c>
      <c r="AQ23" s="148"/>
      <c r="AR23" s="98">
        <f t="shared" si="9"/>
        <v>8.1800000000000193</v>
      </c>
      <c r="AS23" s="7">
        <f t="shared" si="4"/>
        <v>23.371428571428627</v>
      </c>
      <c r="AT23" s="3"/>
      <c r="AU23" s="6">
        <v>3</v>
      </c>
      <c r="AV23" s="36"/>
      <c r="AW23" s="36" t="s">
        <v>6</v>
      </c>
      <c r="AX23" s="34">
        <v>2</v>
      </c>
      <c r="AY23" s="32">
        <v>24</v>
      </c>
      <c r="AZ23" s="148">
        <f>燃料消費量!$C$15</f>
        <v>0.35</v>
      </c>
      <c r="BA23" s="148"/>
      <c r="BB23" s="98">
        <f t="shared" si="10"/>
        <v>5.8200000000000234</v>
      </c>
      <c r="BC23" s="7">
        <f t="shared" si="5"/>
        <v>16.628571428571497</v>
      </c>
      <c r="BE23" s="6">
        <v>3</v>
      </c>
      <c r="BF23" s="36"/>
      <c r="BG23" s="36" t="s">
        <v>100</v>
      </c>
      <c r="BH23" s="34">
        <v>2</v>
      </c>
      <c r="BI23" s="32">
        <v>22</v>
      </c>
      <c r="BJ23" s="148">
        <f>燃料消費量!$D$21</f>
        <v>0.35</v>
      </c>
      <c r="BK23" s="148"/>
      <c r="BL23" s="98">
        <f t="shared" si="11"/>
        <v>6.5900000000000247</v>
      </c>
      <c r="BM23" s="7">
        <f t="shared" si="6"/>
        <v>18.8285714285715</v>
      </c>
      <c r="BO23" s="6">
        <v>3</v>
      </c>
      <c r="BP23" s="36"/>
      <c r="BQ23" s="36" t="s">
        <v>100</v>
      </c>
      <c r="BR23" s="34">
        <v>2</v>
      </c>
      <c r="BS23" s="32">
        <v>21</v>
      </c>
      <c r="BT23" s="148">
        <f>燃料消費量!$B$33</f>
        <v>0.35</v>
      </c>
      <c r="BU23" s="148"/>
      <c r="BV23" s="98">
        <f t="shared" si="12"/>
        <v>5.610000000000027</v>
      </c>
      <c r="BW23" s="7">
        <f t="shared" si="7"/>
        <v>16.028571428571507</v>
      </c>
      <c r="BY23" s="6">
        <v>3</v>
      </c>
      <c r="BZ23" s="36"/>
      <c r="CA23" s="36" t="s">
        <v>6</v>
      </c>
      <c r="CB23" s="34">
        <v>2</v>
      </c>
      <c r="CC23" s="32">
        <v>24</v>
      </c>
      <c r="CD23" s="148">
        <f>燃料消費量!$B$33</f>
        <v>0.35</v>
      </c>
      <c r="CE23" s="148"/>
      <c r="CF23" s="98">
        <f t="shared" si="13"/>
        <v>4.980000000000028</v>
      </c>
      <c r="CG23" s="7">
        <f t="shared" si="14"/>
        <v>14.228571428571509</v>
      </c>
      <c r="CI23" s="6">
        <v>3</v>
      </c>
      <c r="CJ23" s="36"/>
      <c r="CK23" s="36" t="s">
        <v>99</v>
      </c>
      <c r="CL23" s="34">
        <v>2</v>
      </c>
      <c r="CM23" s="32">
        <v>22</v>
      </c>
      <c r="CN23" s="148">
        <f>燃料消費量!$B$33</f>
        <v>0.35</v>
      </c>
      <c r="CO23" s="148"/>
      <c r="CP23" s="98">
        <f t="shared" ref="CP23:CP36" si="25">IF(CN23="","",CP22-CN23)</f>
        <v>5.770000000000028</v>
      </c>
      <c r="CQ23" s="7">
        <f t="shared" ref="CQ23:CQ36" si="26">CP23/CN23</f>
        <v>16.485714285714366</v>
      </c>
      <c r="CS23" s="6">
        <v>3</v>
      </c>
      <c r="CT23" s="36"/>
      <c r="CU23" s="36"/>
      <c r="CV23" s="34"/>
      <c r="CW23" s="32"/>
      <c r="CX23" s="148" t="str">
        <f t="shared" si="15"/>
        <v/>
      </c>
      <c r="CY23" s="148"/>
      <c r="CZ23" s="98" t="str">
        <f t="shared" si="16"/>
        <v/>
      </c>
      <c r="DA23" s="7" t="str">
        <f t="shared" si="17"/>
        <v/>
      </c>
      <c r="DC23" s="6">
        <v>3</v>
      </c>
      <c r="DD23" s="36"/>
      <c r="DE23" s="36"/>
      <c r="DF23" s="34"/>
      <c r="DG23" s="32"/>
      <c r="DH23" s="148" t="str">
        <f t="shared" si="18"/>
        <v/>
      </c>
      <c r="DI23" s="148"/>
      <c r="DJ23" s="98" t="str">
        <f t="shared" si="19"/>
        <v/>
      </c>
      <c r="DK23" s="7" t="str">
        <f t="shared" si="20"/>
        <v/>
      </c>
      <c r="DM23" s="6">
        <v>3</v>
      </c>
      <c r="DN23" s="36"/>
      <c r="DO23" s="36"/>
      <c r="DP23" s="34"/>
      <c r="DQ23" s="32"/>
      <c r="DR23" s="148" t="str">
        <f t="shared" si="21"/>
        <v/>
      </c>
      <c r="DS23" s="148"/>
      <c r="DT23" s="98" t="str">
        <f t="shared" si="22"/>
        <v/>
      </c>
      <c r="DU23" s="7" t="str">
        <f t="shared" si="23"/>
        <v/>
      </c>
    </row>
    <row r="24" spans="1:125" ht="13.25" customHeight="1" x14ac:dyDescent="0.2">
      <c r="A24" s="109" t="s">
        <v>41</v>
      </c>
      <c r="B24" s="64">
        <v>1</v>
      </c>
      <c r="G24" s="6">
        <v>4</v>
      </c>
      <c r="H24" s="36"/>
      <c r="I24" s="36" t="s">
        <v>100</v>
      </c>
      <c r="J24" s="34">
        <v>2</v>
      </c>
      <c r="K24" s="32">
        <v>21</v>
      </c>
      <c r="L24" s="148">
        <f>燃料消費量!$B$17</f>
        <v>0.35</v>
      </c>
      <c r="M24" s="148"/>
      <c r="N24" s="98">
        <f t="shared" si="0"/>
        <v>12.500000000000002</v>
      </c>
      <c r="O24" s="7">
        <f t="shared" si="24"/>
        <v>35.714285714285722</v>
      </c>
      <c r="Q24" s="6">
        <v>4</v>
      </c>
      <c r="R24" s="36"/>
      <c r="S24" s="36" t="s">
        <v>100</v>
      </c>
      <c r="T24" s="34">
        <v>2</v>
      </c>
      <c r="U24" s="32">
        <v>24</v>
      </c>
      <c r="V24" s="148">
        <f>燃料消費量!$C$15</f>
        <v>0.35</v>
      </c>
      <c r="W24" s="148"/>
      <c r="X24" s="98">
        <f t="shared" si="1"/>
        <v>9.7900000000000098</v>
      </c>
      <c r="Y24" s="7">
        <f t="shared" si="2"/>
        <v>27.9714285714286</v>
      </c>
      <c r="AA24" s="6">
        <v>4</v>
      </c>
      <c r="AB24" s="36"/>
      <c r="AC24" s="36" t="s">
        <v>6</v>
      </c>
      <c r="AD24" s="34">
        <v>2</v>
      </c>
      <c r="AE24" s="32">
        <v>22</v>
      </c>
      <c r="AF24" s="148">
        <f>燃料消費量!$D$21</f>
        <v>0.35</v>
      </c>
      <c r="AG24" s="148"/>
      <c r="AH24" s="98">
        <f t="shared" si="8"/>
        <v>9.8600000000000136</v>
      </c>
      <c r="AI24" s="7">
        <f t="shared" si="3"/>
        <v>28.171428571428613</v>
      </c>
      <c r="AK24" s="6">
        <v>4</v>
      </c>
      <c r="AL24" s="36"/>
      <c r="AM24" s="36" t="s">
        <v>99</v>
      </c>
      <c r="AN24" s="34">
        <v>2</v>
      </c>
      <c r="AO24" s="32">
        <v>21</v>
      </c>
      <c r="AP24" s="148">
        <f>燃料消費量!$B$17</f>
        <v>0.35</v>
      </c>
      <c r="AQ24" s="148"/>
      <c r="AR24" s="98">
        <f t="shared" si="9"/>
        <v>7.8300000000000196</v>
      </c>
      <c r="AS24" s="7">
        <f t="shared" si="4"/>
        <v>22.371428571428631</v>
      </c>
      <c r="AT24" s="3"/>
      <c r="AU24" s="6">
        <v>4</v>
      </c>
      <c r="AV24" s="36"/>
      <c r="AW24" s="36" t="s">
        <v>6</v>
      </c>
      <c r="AX24" s="34">
        <v>2</v>
      </c>
      <c r="AY24" s="32">
        <v>24</v>
      </c>
      <c r="AZ24" s="148">
        <f>燃料消費量!$C$15</f>
        <v>0.35</v>
      </c>
      <c r="BA24" s="148"/>
      <c r="BB24" s="98">
        <f t="shared" si="10"/>
        <v>5.4700000000000237</v>
      </c>
      <c r="BC24" s="7">
        <f t="shared" si="5"/>
        <v>15.628571428571497</v>
      </c>
      <c r="BE24" s="6">
        <v>4</v>
      </c>
      <c r="BF24" s="36"/>
      <c r="BG24" s="36" t="s">
        <v>100</v>
      </c>
      <c r="BH24" s="34">
        <v>2</v>
      </c>
      <c r="BI24" s="32">
        <v>22</v>
      </c>
      <c r="BJ24" s="148">
        <f>燃料消費量!$D$21</f>
        <v>0.35</v>
      </c>
      <c r="BK24" s="148"/>
      <c r="BL24" s="98">
        <f t="shared" si="11"/>
        <v>6.2400000000000251</v>
      </c>
      <c r="BM24" s="7">
        <f t="shared" si="6"/>
        <v>17.8285714285715</v>
      </c>
      <c r="BO24" s="6">
        <v>4</v>
      </c>
      <c r="BP24" s="36"/>
      <c r="BQ24" s="36" t="s">
        <v>100</v>
      </c>
      <c r="BR24" s="34">
        <v>2</v>
      </c>
      <c r="BS24" s="32">
        <v>21</v>
      </c>
      <c r="BT24" s="148">
        <f>燃料消費量!$B$33</f>
        <v>0.35</v>
      </c>
      <c r="BU24" s="148"/>
      <c r="BV24" s="98">
        <f t="shared" si="12"/>
        <v>5.2600000000000273</v>
      </c>
      <c r="BW24" s="7">
        <f t="shared" si="7"/>
        <v>15.028571428571508</v>
      </c>
      <c r="BY24" s="6">
        <v>4</v>
      </c>
      <c r="BZ24" s="36"/>
      <c r="CA24" s="36" t="s">
        <v>6</v>
      </c>
      <c r="CB24" s="34">
        <v>2</v>
      </c>
      <c r="CC24" s="32">
        <v>24</v>
      </c>
      <c r="CD24" s="148">
        <f>燃料消費量!$B$33</f>
        <v>0.35</v>
      </c>
      <c r="CE24" s="148"/>
      <c r="CF24" s="98">
        <f t="shared" si="13"/>
        <v>4.6300000000000283</v>
      </c>
      <c r="CG24" s="7">
        <f t="shared" si="14"/>
        <v>13.228571428571509</v>
      </c>
      <c r="CI24" s="6">
        <v>4</v>
      </c>
      <c r="CJ24" s="36"/>
      <c r="CK24" s="36" t="s">
        <v>99</v>
      </c>
      <c r="CL24" s="34">
        <v>2</v>
      </c>
      <c r="CM24" s="32">
        <v>22</v>
      </c>
      <c r="CN24" s="148">
        <f>燃料消費量!$B$33</f>
        <v>0.35</v>
      </c>
      <c r="CO24" s="148"/>
      <c r="CP24" s="98">
        <f t="shared" si="25"/>
        <v>5.4200000000000284</v>
      </c>
      <c r="CQ24" s="7">
        <f t="shared" si="26"/>
        <v>15.485714285714367</v>
      </c>
      <c r="CS24" s="6">
        <v>4</v>
      </c>
      <c r="CT24" s="36"/>
      <c r="CU24" s="36"/>
      <c r="CV24" s="34"/>
      <c r="CW24" s="32"/>
      <c r="CX24" s="148" t="str">
        <f t="shared" si="15"/>
        <v/>
      </c>
      <c r="CY24" s="148"/>
      <c r="CZ24" s="98" t="str">
        <f t="shared" si="16"/>
        <v/>
      </c>
      <c r="DA24" s="7" t="str">
        <f t="shared" si="17"/>
        <v/>
      </c>
      <c r="DC24" s="6">
        <v>4</v>
      </c>
      <c r="DD24" s="36"/>
      <c r="DE24" s="36"/>
      <c r="DF24" s="34"/>
      <c r="DG24" s="32"/>
      <c r="DH24" s="148" t="str">
        <f t="shared" si="18"/>
        <v/>
      </c>
      <c r="DI24" s="148"/>
      <c r="DJ24" s="98" t="str">
        <f t="shared" si="19"/>
        <v/>
      </c>
      <c r="DK24" s="7" t="str">
        <f t="shared" si="20"/>
        <v/>
      </c>
      <c r="DM24" s="6">
        <v>4</v>
      </c>
      <c r="DN24" s="36"/>
      <c r="DO24" s="36"/>
      <c r="DP24" s="34"/>
      <c r="DQ24" s="32"/>
      <c r="DR24" s="148" t="str">
        <f t="shared" si="21"/>
        <v/>
      </c>
      <c r="DS24" s="148"/>
      <c r="DT24" s="98" t="str">
        <f t="shared" si="22"/>
        <v/>
      </c>
      <c r="DU24" s="7" t="str">
        <f t="shared" si="23"/>
        <v/>
      </c>
    </row>
    <row r="25" spans="1:125" ht="13.25" customHeight="1" x14ac:dyDescent="0.2">
      <c r="A25" s="106" t="s">
        <v>53</v>
      </c>
      <c r="B25" s="64">
        <v>1</v>
      </c>
      <c r="C25" s="78" t="s">
        <v>54</v>
      </c>
      <c r="G25" s="6">
        <v>5</v>
      </c>
      <c r="H25" s="36"/>
      <c r="I25" s="36" t="s">
        <v>100</v>
      </c>
      <c r="J25" s="34">
        <v>2</v>
      </c>
      <c r="K25" s="32">
        <v>21</v>
      </c>
      <c r="L25" s="148">
        <f>燃料消費量!$B$17</f>
        <v>0.35</v>
      </c>
      <c r="M25" s="148"/>
      <c r="N25" s="98">
        <f t="shared" si="0"/>
        <v>12.150000000000002</v>
      </c>
      <c r="O25" s="7">
        <f t="shared" si="24"/>
        <v>34.714285714285722</v>
      </c>
      <c r="Q25" s="6">
        <v>5</v>
      </c>
      <c r="R25" s="36"/>
      <c r="S25" s="36" t="s">
        <v>100</v>
      </c>
      <c r="T25" s="34">
        <v>2</v>
      </c>
      <c r="U25" s="32">
        <v>24</v>
      </c>
      <c r="V25" s="148">
        <f>燃料消費量!$C$15</f>
        <v>0.35</v>
      </c>
      <c r="W25" s="148"/>
      <c r="X25" s="98">
        <f t="shared" si="1"/>
        <v>9.4400000000000102</v>
      </c>
      <c r="Y25" s="7">
        <f t="shared" si="2"/>
        <v>26.971428571428604</v>
      </c>
      <c r="AA25" s="6">
        <v>5</v>
      </c>
      <c r="AB25" s="36"/>
      <c r="AC25" s="36" t="s">
        <v>6</v>
      </c>
      <c r="AD25" s="34">
        <v>2</v>
      </c>
      <c r="AE25" s="32">
        <v>22</v>
      </c>
      <c r="AF25" s="148">
        <f>燃料消費量!$D$21</f>
        <v>0.35</v>
      </c>
      <c r="AG25" s="148"/>
      <c r="AH25" s="98">
        <f t="shared" si="8"/>
        <v>9.510000000000014</v>
      </c>
      <c r="AI25" s="7">
        <f t="shared" si="3"/>
        <v>27.171428571428613</v>
      </c>
      <c r="AK25" s="6">
        <v>5</v>
      </c>
      <c r="AL25" s="36"/>
      <c r="AM25" s="36" t="s">
        <v>99</v>
      </c>
      <c r="AN25" s="34">
        <v>2</v>
      </c>
      <c r="AO25" s="32">
        <v>21</v>
      </c>
      <c r="AP25" s="148">
        <f>燃料消費量!$B$17</f>
        <v>0.35</v>
      </c>
      <c r="AQ25" s="148"/>
      <c r="AR25" s="98">
        <f t="shared" si="9"/>
        <v>7.48000000000002</v>
      </c>
      <c r="AS25" s="7">
        <f t="shared" si="4"/>
        <v>21.371428571428631</v>
      </c>
      <c r="AT25" s="3"/>
      <c r="AU25" s="6">
        <v>5</v>
      </c>
      <c r="AV25" s="36"/>
      <c r="AW25" s="36" t="s">
        <v>6</v>
      </c>
      <c r="AX25" s="34">
        <v>2</v>
      </c>
      <c r="AY25" s="32">
        <v>24</v>
      </c>
      <c r="AZ25" s="148">
        <f>燃料消費量!$C$15</f>
        <v>0.35</v>
      </c>
      <c r="BA25" s="148"/>
      <c r="BB25" s="98">
        <f t="shared" si="10"/>
        <v>5.1200000000000241</v>
      </c>
      <c r="BC25" s="7">
        <f t="shared" si="5"/>
        <v>14.628571428571499</v>
      </c>
      <c r="BE25" s="6">
        <v>5</v>
      </c>
      <c r="BF25" s="36"/>
      <c r="BG25" s="36" t="s">
        <v>100</v>
      </c>
      <c r="BH25" s="34">
        <v>2</v>
      </c>
      <c r="BI25" s="32">
        <v>22</v>
      </c>
      <c r="BJ25" s="148">
        <f>燃料消費量!$D$21</f>
        <v>0.35</v>
      </c>
      <c r="BK25" s="148"/>
      <c r="BL25" s="98">
        <f t="shared" si="11"/>
        <v>5.8900000000000254</v>
      </c>
      <c r="BM25" s="7">
        <f t="shared" si="6"/>
        <v>16.828571428571504</v>
      </c>
      <c r="BO25" s="6">
        <v>5</v>
      </c>
      <c r="BP25" s="36"/>
      <c r="BQ25" s="36" t="s">
        <v>100</v>
      </c>
      <c r="BR25" s="34">
        <v>2</v>
      </c>
      <c r="BS25" s="32">
        <v>21</v>
      </c>
      <c r="BT25" s="148">
        <f>燃料消費量!$B$33</f>
        <v>0.35</v>
      </c>
      <c r="BU25" s="148"/>
      <c r="BV25" s="98">
        <f t="shared" si="12"/>
        <v>4.9100000000000277</v>
      </c>
      <c r="BW25" s="7">
        <f t="shared" si="7"/>
        <v>14.028571428571508</v>
      </c>
      <c r="BY25" s="6">
        <v>5</v>
      </c>
      <c r="BZ25" s="36"/>
      <c r="CA25" s="36" t="s">
        <v>6</v>
      </c>
      <c r="CB25" s="34">
        <v>2</v>
      </c>
      <c r="CC25" s="32">
        <v>24</v>
      </c>
      <c r="CD25" s="148">
        <f>燃料消費量!$B$33</f>
        <v>0.35</v>
      </c>
      <c r="CE25" s="148"/>
      <c r="CF25" s="98">
        <f t="shared" si="13"/>
        <v>4.2800000000000287</v>
      </c>
      <c r="CG25" s="7">
        <f t="shared" si="14"/>
        <v>12.228571428571511</v>
      </c>
      <c r="CI25" s="6">
        <v>5</v>
      </c>
      <c r="CJ25" s="36"/>
      <c r="CK25" s="36" t="s">
        <v>6</v>
      </c>
      <c r="CL25" s="34">
        <v>2</v>
      </c>
      <c r="CM25" s="32">
        <v>22</v>
      </c>
      <c r="CN25" s="148">
        <f>燃料消費量!$B$33</f>
        <v>0.35</v>
      </c>
      <c r="CO25" s="148"/>
      <c r="CP25" s="98">
        <f t="shared" si="25"/>
        <v>5.0700000000000287</v>
      </c>
      <c r="CQ25" s="7">
        <f t="shared" si="26"/>
        <v>14.485714285714369</v>
      </c>
      <c r="CS25" s="6">
        <v>5</v>
      </c>
      <c r="CT25" s="36"/>
      <c r="CU25" s="36"/>
      <c r="CV25" s="34"/>
      <c r="CW25" s="32"/>
      <c r="CX25" s="148" t="str">
        <f t="shared" si="15"/>
        <v/>
      </c>
      <c r="CY25" s="148"/>
      <c r="CZ25" s="98" t="str">
        <f t="shared" si="16"/>
        <v/>
      </c>
      <c r="DA25" s="7" t="str">
        <f t="shared" si="17"/>
        <v/>
      </c>
      <c r="DC25" s="6">
        <v>5</v>
      </c>
      <c r="DD25" s="36"/>
      <c r="DE25" s="36"/>
      <c r="DF25" s="34"/>
      <c r="DG25" s="32"/>
      <c r="DH25" s="148" t="str">
        <f t="shared" si="18"/>
        <v/>
      </c>
      <c r="DI25" s="148"/>
      <c r="DJ25" s="98" t="str">
        <f t="shared" si="19"/>
        <v/>
      </c>
      <c r="DK25" s="7" t="str">
        <f t="shared" si="20"/>
        <v/>
      </c>
      <c r="DM25" s="6">
        <v>5</v>
      </c>
      <c r="DN25" s="36"/>
      <c r="DO25" s="36"/>
      <c r="DP25" s="34"/>
      <c r="DQ25" s="32"/>
      <c r="DR25" s="148" t="str">
        <f t="shared" si="21"/>
        <v/>
      </c>
      <c r="DS25" s="148"/>
      <c r="DT25" s="98" t="str">
        <f t="shared" si="22"/>
        <v/>
      </c>
      <c r="DU25" s="7" t="str">
        <f t="shared" si="23"/>
        <v/>
      </c>
    </row>
    <row r="26" spans="1:125" x14ac:dyDescent="0.2">
      <c r="A26" s="109" t="s">
        <v>42</v>
      </c>
      <c r="B26" s="63">
        <v>6</v>
      </c>
      <c r="G26" s="6">
        <v>6</v>
      </c>
      <c r="H26" s="36"/>
      <c r="I26" s="36" t="s">
        <v>100</v>
      </c>
      <c r="J26" s="34">
        <v>2</v>
      </c>
      <c r="K26" s="32">
        <v>21</v>
      </c>
      <c r="L26" s="148">
        <f>燃料消費量!$B$17</f>
        <v>0.35</v>
      </c>
      <c r="M26" s="148"/>
      <c r="N26" s="98">
        <f t="shared" si="0"/>
        <v>11.800000000000002</v>
      </c>
      <c r="O26" s="7">
        <f t="shared" si="24"/>
        <v>33.714285714285722</v>
      </c>
      <c r="Q26" s="6">
        <v>6</v>
      </c>
      <c r="R26" s="36"/>
      <c r="S26" s="36" t="s">
        <v>100</v>
      </c>
      <c r="T26" s="34">
        <v>2</v>
      </c>
      <c r="U26" s="32">
        <v>24</v>
      </c>
      <c r="V26" s="148">
        <f>燃料消費量!$C$15</f>
        <v>0.35</v>
      </c>
      <c r="W26" s="148"/>
      <c r="X26" s="98">
        <f t="shared" si="1"/>
        <v>9.0900000000000105</v>
      </c>
      <c r="Y26" s="7">
        <f t="shared" si="2"/>
        <v>25.971428571428604</v>
      </c>
      <c r="AA26" s="6">
        <v>6</v>
      </c>
      <c r="AB26" s="36"/>
      <c r="AC26" s="36" t="s">
        <v>6</v>
      </c>
      <c r="AD26" s="34">
        <v>2</v>
      </c>
      <c r="AE26" s="32">
        <v>22</v>
      </c>
      <c r="AF26" s="148">
        <f>燃料消費量!$D$21</f>
        <v>0.35</v>
      </c>
      <c r="AG26" s="148"/>
      <c r="AH26" s="98">
        <f t="shared" si="8"/>
        <v>9.1600000000000144</v>
      </c>
      <c r="AI26" s="7">
        <f t="shared" si="3"/>
        <v>26.171428571428613</v>
      </c>
      <c r="AK26" s="6">
        <v>6</v>
      </c>
      <c r="AL26" s="36"/>
      <c r="AM26" s="36" t="s">
        <v>99</v>
      </c>
      <c r="AN26" s="34">
        <v>2</v>
      </c>
      <c r="AO26" s="32">
        <v>21</v>
      </c>
      <c r="AP26" s="148">
        <f>燃料消費量!$B$17</f>
        <v>0.35</v>
      </c>
      <c r="AQ26" s="148"/>
      <c r="AR26" s="98">
        <f t="shared" si="9"/>
        <v>7.1300000000000203</v>
      </c>
      <c r="AS26" s="7">
        <f t="shared" si="4"/>
        <v>20.371428571428631</v>
      </c>
      <c r="AT26" s="3"/>
      <c r="AU26" s="6">
        <v>6</v>
      </c>
      <c r="AV26" s="36"/>
      <c r="AW26" s="36" t="s">
        <v>6</v>
      </c>
      <c r="AX26" s="34">
        <v>2</v>
      </c>
      <c r="AY26" s="32">
        <v>24</v>
      </c>
      <c r="AZ26" s="148">
        <f>燃料消費量!$C$15</f>
        <v>0.35</v>
      </c>
      <c r="BA26" s="148"/>
      <c r="BB26" s="98">
        <f t="shared" si="10"/>
        <v>4.7700000000000244</v>
      </c>
      <c r="BC26" s="7">
        <f t="shared" si="5"/>
        <v>13.628571428571499</v>
      </c>
      <c r="BE26" s="6">
        <v>6</v>
      </c>
      <c r="BF26" s="36"/>
      <c r="BG26" s="36" t="s">
        <v>100</v>
      </c>
      <c r="BH26" s="34">
        <v>2</v>
      </c>
      <c r="BI26" s="32">
        <v>22</v>
      </c>
      <c r="BJ26" s="148">
        <f>燃料消費量!$D$21</f>
        <v>0.35</v>
      </c>
      <c r="BK26" s="148"/>
      <c r="BL26" s="98">
        <f t="shared" si="11"/>
        <v>5.5400000000000258</v>
      </c>
      <c r="BM26" s="7">
        <f t="shared" si="6"/>
        <v>15.828571428571504</v>
      </c>
      <c r="BO26" s="6">
        <v>6</v>
      </c>
      <c r="BP26" s="36"/>
      <c r="BQ26" s="36" t="s">
        <v>100</v>
      </c>
      <c r="BR26" s="34">
        <v>2</v>
      </c>
      <c r="BS26" s="32">
        <v>21</v>
      </c>
      <c r="BT26" s="148">
        <f>燃料消費量!$B$33</f>
        <v>0.35</v>
      </c>
      <c r="BU26" s="148"/>
      <c r="BV26" s="98">
        <f t="shared" si="12"/>
        <v>4.560000000000028</v>
      </c>
      <c r="BW26" s="7">
        <f t="shared" si="7"/>
        <v>13.02857142857151</v>
      </c>
      <c r="BY26" s="6">
        <v>6</v>
      </c>
      <c r="BZ26" s="36"/>
      <c r="CA26" s="36" t="s">
        <v>6</v>
      </c>
      <c r="CB26" s="34">
        <v>2</v>
      </c>
      <c r="CC26" s="32">
        <v>24</v>
      </c>
      <c r="CD26" s="148">
        <f>燃料消費量!$B$33</f>
        <v>0.35</v>
      </c>
      <c r="CE26" s="148"/>
      <c r="CF26" s="98">
        <f t="shared" si="13"/>
        <v>3.9300000000000286</v>
      </c>
      <c r="CG26" s="7">
        <f t="shared" si="14"/>
        <v>11.228571428571511</v>
      </c>
      <c r="CI26" s="6">
        <v>6</v>
      </c>
      <c r="CJ26" s="36"/>
      <c r="CK26" s="36" t="s">
        <v>6</v>
      </c>
      <c r="CL26" s="34">
        <v>2</v>
      </c>
      <c r="CM26" s="32">
        <v>22</v>
      </c>
      <c r="CN26" s="148">
        <f>燃料消費量!$B$33</f>
        <v>0.35</v>
      </c>
      <c r="CO26" s="148"/>
      <c r="CP26" s="98">
        <f t="shared" si="25"/>
        <v>4.7200000000000291</v>
      </c>
      <c r="CQ26" s="7">
        <f t="shared" si="26"/>
        <v>13.485714285714369</v>
      </c>
      <c r="CS26" s="6">
        <v>6</v>
      </c>
      <c r="CT26" s="36"/>
      <c r="CU26" s="36"/>
      <c r="CV26" s="34"/>
      <c r="CW26" s="32"/>
      <c r="CX26" s="148" t="str">
        <f t="shared" si="15"/>
        <v/>
      </c>
      <c r="CY26" s="148"/>
      <c r="CZ26" s="98" t="str">
        <f t="shared" si="16"/>
        <v/>
      </c>
      <c r="DA26" s="7" t="str">
        <f t="shared" si="17"/>
        <v/>
      </c>
      <c r="DC26" s="6">
        <v>6</v>
      </c>
      <c r="DD26" s="36"/>
      <c r="DE26" s="36"/>
      <c r="DF26" s="34"/>
      <c r="DG26" s="32"/>
      <c r="DH26" s="148" t="str">
        <f t="shared" si="18"/>
        <v/>
      </c>
      <c r="DI26" s="148"/>
      <c r="DJ26" s="98" t="str">
        <f t="shared" si="19"/>
        <v/>
      </c>
      <c r="DK26" s="7" t="str">
        <f t="shared" si="20"/>
        <v/>
      </c>
      <c r="DM26" s="6">
        <v>6</v>
      </c>
      <c r="DN26" s="36"/>
      <c r="DO26" s="36"/>
      <c r="DP26" s="34"/>
      <c r="DQ26" s="32"/>
      <c r="DR26" s="148" t="str">
        <f t="shared" si="21"/>
        <v/>
      </c>
      <c r="DS26" s="148"/>
      <c r="DT26" s="98" t="str">
        <f t="shared" si="22"/>
        <v/>
      </c>
      <c r="DU26" s="7" t="str">
        <f t="shared" si="23"/>
        <v/>
      </c>
    </row>
    <row r="27" spans="1:125" x14ac:dyDescent="0.2">
      <c r="G27" s="6">
        <v>7</v>
      </c>
      <c r="H27" s="36"/>
      <c r="I27" s="36" t="s">
        <v>6</v>
      </c>
      <c r="J27" s="34">
        <v>2</v>
      </c>
      <c r="K27" s="32">
        <v>21</v>
      </c>
      <c r="L27" s="148">
        <f>燃料消費量!$B$17</f>
        <v>0.35</v>
      </c>
      <c r="M27" s="148"/>
      <c r="N27" s="98">
        <f t="shared" si="0"/>
        <v>11.450000000000003</v>
      </c>
      <c r="O27" s="7">
        <f t="shared" si="24"/>
        <v>32.714285714285722</v>
      </c>
      <c r="Q27" s="6">
        <v>7</v>
      </c>
      <c r="R27" s="36"/>
      <c r="S27" s="36" t="s">
        <v>100</v>
      </c>
      <c r="T27" s="34">
        <v>2</v>
      </c>
      <c r="U27" s="32">
        <v>24</v>
      </c>
      <c r="V27" s="148">
        <f>燃料消費量!$C$15</f>
        <v>0.35</v>
      </c>
      <c r="W27" s="148"/>
      <c r="X27" s="98">
        <f t="shared" si="1"/>
        <v>8.7400000000000109</v>
      </c>
      <c r="Y27" s="7">
        <f t="shared" si="2"/>
        <v>24.971428571428604</v>
      </c>
      <c r="AA27" s="6">
        <v>7</v>
      </c>
      <c r="AB27" s="36"/>
      <c r="AC27" s="36" t="s">
        <v>6</v>
      </c>
      <c r="AD27" s="34">
        <v>2</v>
      </c>
      <c r="AE27" s="32">
        <v>22</v>
      </c>
      <c r="AF27" s="148">
        <f>燃料消費量!$D$21</f>
        <v>0.35</v>
      </c>
      <c r="AG27" s="148"/>
      <c r="AH27" s="98">
        <f t="shared" si="8"/>
        <v>8.8100000000000147</v>
      </c>
      <c r="AI27" s="7">
        <f t="shared" si="3"/>
        <v>25.171428571428613</v>
      </c>
      <c r="AK27" s="6">
        <v>7</v>
      </c>
      <c r="AL27" s="36"/>
      <c r="AM27" s="36" t="s">
        <v>99</v>
      </c>
      <c r="AN27" s="34">
        <v>2</v>
      </c>
      <c r="AO27" s="32">
        <v>21</v>
      </c>
      <c r="AP27" s="148">
        <f>燃料消費量!$B$17</f>
        <v>0.35</v>
      </c>
      <c r="AQ27" s="148"/>
      <c r="AR27" s="98">
        <f t="shared" si="9"/>
        <v>6.7800000000000207</v>
      </c>
      <c r="AS27" s="7">
        <f t="shared" si="4"/>
        <v>19.371428571428631</v>
      </c>
      <c r="AT27" s="3"/>
      <c r="AU27" s="6">
        <v>7</v>
      </c>
      <c r="AV27" s="36"/>
      <c r="AW27" s="36" t="s">
        <v>6</v>
      </c>
      <c r="AX27" s="34">
        <v>2</v>
      </c>
      <c r="AY27" s="32">
        <v>24</v>
      </c>
      <c r="AZ27" s="148">
        <f>燃料消費量!$C$15</f>
        <v>0.35</v>
      </c>
      <c r="BA27" s="148"/>
      <c r="BB27" s="98">
        <f t="shared" si="10"/>
        <v>4.4200000000000248</v>
      </c>
      <c r="BC27" s="7">
        <f t="shared" si="5"/>
        <v>12.628571428571501</v>
      </c>
      <c r="BE27" s="6">
        <v>7</v>
      </c>
      <c r="BF27" s="36"/>
      <c r="BG27" s="36" t="s">
        <v>100</v>
      </c>
      <c r="BH27" s="34">
        <v>2</v>
      </c>
      <c r="BI27" s="32">
        <v>22</v>
      </c>
      <c r="BJ27" s="148">
        <f>燃料消費量!$D$21</f>
        <v>0.35</v>
      </c>
      <c r="BK27" s="148"/>
      <c r="BL27" s="98">
        <f t="shared" si="11"/>
        <v>5.1900000000000261</v>
      </c>
      <c r="BM27" s="7">
        <f t="shared" si="6"/>
        <v>14.828571428571504</v>
      </c>
      <c r="BO27" s="6">
        <v>7</v>
      </c>
      <c r="BP27" s="36"/>
      <c r="BQ27" s="36" t="s">
        <v>100</v>
      </c>
      <c r="BR27" s="34">
        <v>2</v>
      </c>
      <c r="BS27" s="32">
        <v>21</v>
      </c>
      <c r="BT27" s="148">
        <f>燃料消費量!$B$33</f>
        <v>0.35</v>
      </c>
      <c r="BU27" s="148"/>
      <c r="BV27" s="98">
        <f t="shared" si="12"/>
        <v>4.2100000000000284</v>
      </c>
      <c r="BW27" s="7">
        <f t="shared" ref="BW27:BW35" si="27">BV27/BT27</f>
        <v>12.02857142857151</v>
      </c>
      <c r="BY27" s="6">
        <v>7</v>
      </c>
      <c r="BZ27" s="36"/>
      <c r="CA27" s="36" t="s">
        <v>6</v>
      </c>
      <c r="CB27" s="34">
        <v>2</v>
      </c>
      <c r="CC27" s="32">
        <v>24</v>
      </c>
      <c r="CD27" s="148">
        <f>燃料消費量!$B$33</f>
        <v>0.35</v>
      </c>
      <c r="CE27" s="148"/>
      <c r="CF27" s="98">
        <f t="shared" si="13"/>
        <v>3.5800000000000285</v>
      </c>
      <c r="CG27" s="7">
        <f t="shared" si="14"/>
        <v>10.228571428571511</v>
      </c>
      <c r="CI27" s="6">
        <v>7</v>
      </c>
      <c r="CJ27" s="36"/>
      <c r="CK27" s="36" t="s">
        <v>6</v>
      </c>
      <c r="CL27" s="34">
        <v>2</v>
      </c>
      <c r="CM27" s="32">
        <v>22</v>
      </c>
      <c r="CN27" s="148">
        <f>燃料消費量!$B$33</f>
        <v>0.35</v>
      </c>
      <c r="CO27" s="148"/>
      <c r="CP27" s="98">
        <f t="shared" si="25"/>
        <v>4.3700000000000294</v>
      </c>
      <c r="CQ27" s="7">
        <f t="shared" si="26"/>
        <v>12.485714285714371</v>
      </c>
      <c r="CS27" s="6">
        <v>7</v>
      </c>
      <c r="CT27" s="36"/>
      <c r="CU27" s="36"/>
      <c r="CV27" s="34"/>
      <c r="CW27" s="32"/>
      <c r="CX27" s="148" t="str">
        <f t="shared" si="15"/>
        <v/>
      </c>
      <c r="CY27" s="148"/>
      <c r="CZ27" s="98" t="str">
        <f t="shared" si="16"/>
        <v/>
      </c>
      <c r="DA27" s="7" t="str">
        <f t="shared" si="17"/>
        <v/>
      </c>
      <c r="DC27" s="6">
        <v>7</v>
      </c>
      <c r="DD27" s="36"/>
      <c r="DE27" s="36"/>
      <c r="DF27" s="34"/>
      <c r="DG27" s="32"/>
      <c r="DH27" s="148" t="str">
        <f t="shared" si="18"/>
        <v/>
      </c>
      <c r="DI27" s="148"/>
      <c r="DJ27" s="98" t="str">
        <f t="shared" si="19"/>
        <v/>
      </c>
      <c r="DK27" s="7" t="str">
        <f t="shared" si="20"/>
        <v/>
      </c>
      <c r="DM27" s="6">
        <v>7</v>
      </c>
      <c r="DN27" s="36"/>
      <c r="DO27" s="36"/>
      <c r="DP27" s="34"/>
      <c r="DQ27" s="32"/>
      <c r="DR27" s="148" t="str">
        <f t="shared" si="21"/>
        <v/>
      </c>
      <c r="DS27" s="148"/>
      <c r="DT27" s="98" t="str">
        <f t="shared" si="22"/>
        <v/>
      </c>
      <c r="DU27" s="7" t="str">
        <f t="shared" si="23"/>
        <v/>
      </c>
    </row>
    <row r="28" spans="1:125" x14ac:dyDescent="0.2">
      <c r="G28" s="6">
        <v>8</v>
      </c>
      <c r="H28" s="36"/>
      <c r="I28" s="36" t="s">
        <v>100</v>
      </c>
      <c r="J28" s="34">
        <v>2</v>
      </c>
      <c r="K28" s="32">
        <v>21</v>
      </c>
      <c r="L28" s="148">
        <f>燃料消費量!$B$17</f>
        <v>0.35</v>
      </c>
      <c r="M28" s="148"/>
      <c r="N28" s="98">
        <f t="shared" si="0"/>
        <v>11.100000000000003</v>
      </c>
      <c r="O28" s="7">
        <f t="shared" si="24"/>
        <v>31.714285714285726</v>
      </c>
      <c r="Q28" s="6">
        <v>8</v>
      </c>
      <c r="R28" s="36"/>
      <c r="S28" s="36" t="s">
        <v>100</v>
      </c>
      <c r="T28" s="34">
        <v>2</v>
      </c>
      <c r="U28" s="32">
        <v>24</v>
      </c>
      <c r="V28" s="148">
        <f>燃料消費量!$C$15</f>
        <v>0.35</v>
      </c>
      <c r="W28" s="148"/>
      <c r="X28" s="98">
        <f t="shared" si="1"/>
        <v>8.3900000000000112</v>
      </c>
      <c r="Y28" s="7">
        <f t="shared" si="2"/>
        <v>23.971428571428604</v>
      </c>
      <c r="AA28" s="6">
        <v>8</v>
      </c>
      <c r="AB28" s="36"/>
      <c r="AC28" s="36" t="s">
        <v>6</v>
      </c>
      <c r="AD28" s="34">
        <v>2</v>
      </c>
      <c r="AE28" s="32">
        <v>22</v>
      </c>
      <c r="AF28" s="148">
        <f>燃料消費量!$D$21</f>
        <v>0.35</v>
      </c>
      <c r="AG28" s="148"/>
      <c r="AH28" s="98">
        <f t="shared" si="8"/>
        <v>8.4600000000000151</v>
      </c>
      <c r="AI28" s="7">
        <f t="shared" si="3"/>
        <v>24.171428571428617</v>
      </c>
      <c r="AK28" s="6">
        <v>8</v>
      </c>
      <c r="AL28" s="36"/>
      <c r="AM28" s="36" t="s">
        <v>99</v>
      </c>
      <c r="AN28" s="34">
        <v>2</v>
      </c>
      <c r="AO28" s="32">
        <v>21</v>
      </c>
      <c r="AP28" s="148">
        <f>燃料消費量!$B$17</f>
        <v>0.35</v>
      </c>
      <c r="AQ28" s="148"/>
      <c r="AR28" s="98">
        <f t="shared" si="9"/>
        <v>6.430000000000021</v>
      </c>
      <c r="AS28" s="7">
        <f t="shared" si="4"/>
        <v>18.371428571428634</v>
      </c>
      <c r="AT28" s="3"/>
      <c r="AU28" s="6">
        <v>8</v>
      </c>
      <c r="AV28" s="36"/>
      <c r="AW28" s="36" t="s">
        <v>6</v>
      </c>
      <c r="AX28" s="34">
        <v>2</v>
      </c>
      <c r="AY28" s="32">
        <v>24</v>
      </c>
      <c r="AZ28" s="148">
        <f>燃料消費量!$C$15</f>
        <v>0.35</v>
      </c>
      <c r="BA28" s="148"/>
      <c r="BB28" s="98">
        <f t="shared" si="10"/>
        <v>4.0700000000000252</v>
      </c>
      <c r="BC28" s="7">
        <f t="shared" si="5"/>
        <v>11.628571428571501</v>
      </c>
      <c r="BE28" s="6">
        <v>8</v>
      </c>
      <c r="BF28" s="36"/>
      <c r="BG28" s="36" t="s">
        <v>100</v>
      </c>
      <c r="BH28" s="34">
        <v>2</v>
      </c>
      <c r="BI28" s="32">
        <v>22</v>
      </c>
      <c r="BJ28" s="148">
        <f>燃料消費量!$D$21</f>
        <v>0.35</v>
      </c>
      <c r="BK28" s="148"/>
      <c r="BL28" s="98">
        <f t="shared" si="11"/>
        <v>4.8400000000000265</v>
      </c>
      <c r="BM28" s="7">
        <f t="shared" si="6"/>
        <v>13.828571428571506</v>
      </c>
      <c r="BO28" s="6">
        <v>8</v>
      </c>
      <c r="BP28" s="36"/>
      <c r="BQ28" s="36" t="s">
        <v>100</v>
      </c>
      <c r="BR28" s="34">
        <v>2</v>
      </c>
      <c r="BS28" s="32">
        <v>21</v>
      </c>
      <c r="BT28" s="148">
        <f>燃料消費量!$B$33</f>
        <v>0.35</v>
      </c>
      <c r="BU28" s="148"/>
      <c r="BV28" s="98">
        <f t="shared" si="12"/>
        <v>3.8600000000000283</v>
      </c>
      <c r="BW28" s="7">
        <f t="shared" si="27"/>
        <v>11.02857142857151</v>
      </c>
      <c r="BY28" s="6">
        <v>8</v>
      </c>
      <c r="BZ28" s="36"/>
      <c r="CA28" s="36" t="s">
        <v>6</v>
      </c>
      <c r="CB28" s="34">
        <v>2</v>
      </c>
      <c r="CC28" s="32">
        <v>24</v>
      </c>
      <c r="CD28" s="148">
        <f>燃料消費量!$B$33</f>
        <v>0.35</v>
      </c>
      <c r="CE28" s="148"/>
      <c r="CF28" s="98">
        <f t="shared" si="13"/>
        <v>3.2300000000000284</v>
      </c>
      <c r="CG28" s="7">
        <f t="shared" si="14"/>
        <v>9.2285714285715095</v>
      </c>
      <c r="CI28" s="6">
        <v>8</v>
      </c>
      <c r="CJ28" s="36"/>
      <c r="CK28" s="36" t="s">
        <v>6</v>
      </c>
      <c r="CL28" s="34">
        <v>2</v>
      </c>
      <c r="CM28" s="32">
        <v>22</v>
      </c>
      <c r="CN28" s="148">
        <f>燃料消費量!$B$33</f>
        <v>0.35</v>
      </c>
      <c r="CO28" s="148"/>
      <c r="CP28" s="98">
        <f t="shared" si="25"/>
        <v>4.0200000000000298</v>
      </c>
      <c r="CQ28" s="7">
        <f t="shared" si="26"/>
        <v>11.485714285714371</v>
      </c>
      <c r="CS28" s="6">
        <v>8</v>
      </c>
      <c r="CT28" s="36"/>
      <c r="CU28" s="36"/>
      <c r="CV28" s="34"/>
      <c r="CW28" s="32"/>
      <c r="CX28" s="148" t="str">
        <f t="shared" si="15"/>
        <v/>
      </c>
      <c r="CY28" s="148"/>
      <c r="CZ28" s="98" t="str">
        <f t="shared" si="16"/>
        <v/>
      </c>
      <c r="DA28" s="7" t="str">
        <f t="shared" si="17"/>
        <v/>
      </c>
      <c r="DC28" s="6">
        <v>8</v>
      </c>
      <c r="DD28" s="36"/>
      <c r="DE28" s="36"/>
      <c r="DF28" s="34"/>
      <c r="DG28" s="32"/>
      <c r="DH28" s="148" t="str">
        <f t="shared" si="18"/>
        <v/>
      </c>
      <c r="DI28" s="148"/>
      <c r="DJ28" s="98" t="str">
        <f t="shared" si="19"/>
        <v/>
      </c>
      <c r="DK28" s="7" t="str">
        <f t="shared" si="20"/>
        <v/>
      </c>
      <c r="DM28" s="6">
        <v>8</v>
      </c>
      <c r="DN28" s="36"/>
      <c r="DO28" s="36"/>
      <c r="DP28" s="34"/>
      <c r="DQ28" s="32"/>
      <c r="DR28" s="148" t="str">
        <f t="shared" si="21"/>
        <v/>
      </c>
      <c r="DS28" s="148"/>
      <c r="DT28" s="98" t="str">
        <f t="shared" si="22"/>
        <v/>
      </c>
      <c r="DU28" s="7" t="str">
        <f t="shared" si="23"/>
        <v/>
      </c>
    </row>
    <row r="29" spans="1:125" x14ac:dyDescent="0.2">
      <c r="A29" s="15"/>
      <c r="G29" s="6">
        <v>9</v>
      </c>
      <c r="H29" s="36"/>
      <c r="I29" s="36" t="s">
        <v>100</v>
      </c>
      <c r="J29" s="34">
        <v>2</v>
      </c>
      <c r="K29" s="32">
        <v>21</v>
      </c>
      <c r="L29" s="148">
        <f>燃料消費量!$B$17</f>
        <v>0.35</v>
      </c>
      <c r="M29" s="148"/>
      <c r="N29" s="98">
        <f t="shared" si="0"/>
        <v>10.750000000000004</v>
      </c>
      <c r="O29" s="7">
        <f t="shared" si="24"/>
        <v>30.714285714285726</v>
      </c>
      <c r="Q29" s="6">
        <v>9</v>
      </c>
      <c r="R29" s="36"/>
      <c r="S29" s="36" t="s">
        <v>100</v>
      </c>
      <c r="T29" s="34">
        <v>2</v>
      </c>
      <c r="U29" s="32">
        <v>24</v>
      </c>
      <c r="V29" s="148">
        <f>燃料消費量!$C$15</f>
        <v>0.35</v>
      </c>
      <c r="W29" s="148"/>
      <c r="X29" s="98">
        <f t="shared" si="1"/>
        <v>8.0400000000000116</v>
      </c>
      <c r="Y29" s="7">
        <f t="shared" si="2"/>
        <v>22.971428571428607</v>
      </c>
      <c r="AA29" s="6">
        <v>9</v>
      </c>
      <c r="AB29" s="36"/>
      <c r="AC29" s="36" t="s">
        <v>6</v>
      </c>
      <c r="AD29" s="34">
        <v>2</v>
      </c>
      <c r="AE29" s="32">
        <v>22</v>
      </c>
      <c r="AF29" s="148">
        <f>燃料消費量!$D$21</f>
        <v>0.35</v>
      </c>
      <c r="AG29" s="148"/>
      <c r="AH29" s="98">
        <f t="shared" si="8"/>
        <v>8.1100000000000154</v>
      </c>
      <c r="AI29" s="7">
        <f t="shared" si="3"/>
        <v>23.171428571428617</v>
      </c>
      <c r="AK29" s="6">
        <v>9</v>
      </c>
      <c r="AL29" s="36"/>
      <c r="AM29" s="36" t="s">
        <v>99</v>
      </c>
      <c r="AN29" s="34">
        <v>2</v>
      </c>
      <c r="AO29" s="32">
        <v>21</v>
      </c>
      <c r="AP29" s="148">
        <f>燃料消費量!$B$17</f>
        <v>0.35</v>
      </c>
      <c r="AQ29" s="148"/>
      <c r="AR29" s="98">
        <f t="shared" si="9"/>
        <v>6.0800000000000214</v>
      </c>
      <c r="AS29" s="7">
        <f t="shared" si="4"/>
        <v>17.371428571428634</v>
      </c>
      <c r="AT29" s="3"/>
      <c r="AU29" s="6">
        <v>9</v>
      </c>
      <c r="AV29" s="36"/>
      <c r="AW29" s="36" t="s">
        <v>6</v>
      </c>
      <c r="AX29" s="34">
        <v>2</v>
      </c>
      <c r="AY29" s="32">
        <v>24</v>
      </c>
      <c r="AZ29" s="148">
        <f>燃料消費量!$C$15</f>
        <v>0.35</v>
      </c>
      <c r="BA29" s="148"/>
      <c r="BB29" s="98">
        <f t="shared" si="10"/>
        <v>3.7200000000000251</v>
      </c>
      <c r="BC29" s="7">
        <f t="shared" si="5"/>
        <v>10.628571428571501</v>
      </c>
      <c r="BE29" s="6">
        <v>9</v>
      </c>
      <c r="BF29" s="36"/>
      <c r="BG29" s="36" t="s">
        <v>100</v>
      </c>
      <c r="BH29" s="34">
        <v>2</v>
      </c>
      <c r="BI29" s="32">
        <v>22</v>
      </c>
      <c r="BJ29" s="148">
        <f>燃料消費量!$D$21</f>
        <v>0.35</v>
      </c>
      <c r="BK29" s="148"/>
      <c r="BL29" s="98">
        <f t="shared" si="11"/>
        <v>4.4900000000000269</v>
      </c>
      <c r="BM29" s="7">
        <f t="shared" si="6"/>
        <v>12.828571428571506</v>
      </c>
      <c r="BO29" s="6">
        <v>9</v>
      </c>
      <c r="BP29" s="36"/>
      <c r="BQ29" s="36" t="s">
        <v>100</v>
      </c>
      <c r="BR29" s="34">
        <v>2</v>
      </c>
      <c r="BS29" s="32">
        <v>21</v>
      </c>
      <c r="BT29" s="148">
        <f>燃料消費量!$B$33</f>
        <v>0.35</v>
      </c>
      <c r="BU29" s="148"/>
      <c r="BV29" s="98">
        <f t="shared" si="12"/>
        <v>3.5100000000000282</v>
      </c>
      <c r="BW29" s="7">
        <f t="shared" si="27"/>
        <v>10.02857142857151</v>
      </c>
      <c r="BY29" s="6">
        <v>9</v>
      </c>
      <c r="BZ29" s="36"/>
      <c r="CA29" s="36" t="s">
        <v>6</v>
      </c>
      <c r="CB29" s="34">
        <v>2</v>
      </c>
      <c r="CC29" s="32">
        <v>24</v>
      </c>
      <c r="CD29" s="148">
        <f>燃料消費量!$B$33</f>
        <v>0.35</v>
      </c>
      <c r="CE29" s="148"/>
      <c r="CF29" s="98">
        <f t="shared" si="13"/>
        <v>2.8800000000000283</v>
      </c>
      <c r="CG29" s="7">
        <f t="shared" si="14"/>
        <v>8.2285714285715095</v>
      </c>
      <c r="CI29" s="6">
        <v>9</v>
      </c>
      <c r="CJ29" s="36"/>
      <c r="CK29" s="36" t="s">
        <v>6</v>
      </c>
      <c r="CL29" s="34">
        <v>2</v>
      </c>
      <c r="CM29" s="32">
        <v>22</v>
      </c>
      <c r="CN29" s="148">
        <f>燃料消費量!$B$33</f>
        <v>0.35</v>
      </c>
      <c r="CO29" s="148"/>
      <c r="CP29" s="98">
        <f t="shared" si="25"/>
        <v>3.6700000000000297</v>
      </c>
      <c r="CQ29" s="7">
        <f t="shared" si="26"/>
        <v>10.485714285714371</v>
      </c>
      <c r="CS29" s="6">
        <v>9</v>
      </c>
      <c r="CT29" s="36"/>
      <c r="CU29" s="36"/>
      <c r="CV29" s="34"/>
      <c r="CW29" s="32"/>
      <c r="CX29" s="148" t="str">
        <f t="shared" si="15"/>
        <v/>
      </c>
      <c r="CY29" s="148"/>
      <c r="CZ29" s="98" t="str">
        <f t="shared" si="16"/>
        <v/>
      </c>
      <c r="DA29" s="7" t="str">
        <f t="shared" si="17"/>
        <v/>
      </c>
      <c r="DC29" s="6">
        <v>9</v>
      </c>
      <c r="DD29" s="36"/>
      <c r="DE29" s="36"/>
      <c r="DF29" s="34"/>
      <c r="DG29" s="32"/>
      <c r="DH29" s="148" t="str">
        <f t="shared" si="18"/>
        <v/>
      </c>
      <c r="DI29" s="148"/>
      <c r="DJ29" s="98" t="str">
        <f t="shared" si="19"/>
        <v/>
      </c>
      <c r="DK29" s="7" t="str">
        <f t="shared" si="20"/>
        <v/>
      </c>
      <c r="DM29" s="6">
        <v>9</v>
      </c>
      <c r="DN29" s="36"/>
      <c r="DO29" s="36"/>
      <c r="DP29" s="34"/>
      <c r="DQ29" s="32"/>
      <c r="DR29" s="148" t="str">
        <f t="shared" si="21"/>
        <v/>
      </c>
      <c r="DS29" s="148"/>
      <c r="DT29" s="98" t="str">
        <f t="shared" si="22"/>
        <v/>
      </c>
      <c r="DU29" s="7" t="str">
        <f t="shared" si="23"/>
        <v/>
      </c>
    </row>
    <row r="30" spans="1:125" x14ac:dyDescent="0.2">
      <c r="A30" s="15"/>
      <c r="G30" s="6">
        <v>10</v>
      </c>
      <c r="H30" s="36"/>
      <c r="I30" s="36" t="s">
        <v>100</v>
      </c>
      <c r="J30" s="34">
        <v>2</v>
      </c>
      <c r="K30" s="32">
        <v>21</v>
      </c>
      <c r="L30" s="148">
        <f>燃料消費量!$B$17</f>
        <v>0.35</v>
      </c>
      <c r="M30" s="148"/>
      <c r="N30" s="98">
        <f t="shared" si="0"/>
        <v>10.400000000000004</v>
      </c>
      <c r="O30" s="7">
        <f t="shared" si="24"/>
        <v>29.714285714285726</v>
      </c>
      <c r="Q30" s="6">
        <v>10</v>
      </c>
      <c r="R30" s="36"/>
      <c r="S30" s="36" t="s">
        <v>100</v>
      </c>
      <c r="T30" s="34">
        <v>2</v>
      </c>
      <c r="U30" s="32">
        <v>24</v>
      </c>
      <c r="V30" s="148">
        <f>燃料消費量!$C$15</f>
        <v>0.35</v>
      </c>
      <c r="W30" s="148"/>
      <c r="X30" s="98">
        <f t="shared" si="1"/>
        <v>7.6900000000000119</v>
      </c>
      <c r="Y30" s="7">
        <f t="shared" si="2"/>
        <v>21.971428571428607</v>
      </c>
      <c r="AA30" s="6">
        <v>10</v>
      </c>
      <c r="AB30" s="36"/>
      <c r="AC30" s="36" t="s">
        <v>6</v>
      </c>
      <c r="AD30" s="34">
        <v>2</v>
      </c>
      <c r="AE30" s="32">
        <v>22</v>
      </c>
      <c r="AF30" s="148">
        <f>燃料消費量!$D$21</f>
        <v>0.35</v>
      </c>
      <c r="AG30" s="148"/>
      <c r="AH30" s="98">
        <f t="shared" si="8"/>
        <v>7.7600000000000158</v>
      </c>
      <c r="AI30" s="7">
        <f t="shared" si="3"/>
        <v>22.171428571428617</v>
      </c>
      <c r="AK30" s="6">
        <v>10</v>
      </c>
      <c r="AL30" s="36"/>
      <c r="AM30" s="36" t="s">
        <v>99</v>
      </c>
      <c r="AN30" s="34">
        <v>2</v>
      </c>
      <c r="AO30" s="32">
        <v>21</v>
      </c>
      <c r="AP30" s="148">
        <f>燃料消費量!$B$17</f>
        <v>0.35</v>
      </c>
      <c r="AQ30" s="148"/>
      <c r="AR30" s="98">
        <f t="shared" si="9"/>
        <v>5.7300000000000217</v>
      </c>
      <c r="AS30" s="7">
        <f t="shared" si="4"/>
        <v>16.371428571428634</v>
      </c>
      <c r="AT30" s="3"/>
      <c r="AU30" s="6">
        <v>10</v>
      </c>
      <c r="AV30" s="36"/>
      <c r="AW30" s="36" t="s">
        <v>6</v>
      </c>
      <c r="AX30" s="34">
        <v>2</v>
      </c>
      <c r="AY30" s="32">
        <v>24</v>
      </c>
      <c r="AZ30" s="148">
        <f>燃料消費量!$C$15</f>
        <v>0.35</v>
      </c>
      <c r="BA30" s="148"/>
      <c r="BB30" s="98">
        <f t="shared" si="10"/>
        <v>3.370000000000025</v>
      </c>
      <c r="BC30" s="7">
        <f t="shared" si="5"/>
        <v>9.6285714285715009</v>
      </c>
      <c r="BE30" s="6">
        <v>10</v>
      </c>
      <c r="BF30" s="36"/>
      <c r="BG30" s="36" t="s">
        <v>100</v>
      </c>
      <c r="BH30" s="34">
        <v>2</v>
      </c>
      <c r="BI30" s="32">
        <v>22</v>
      </c>
      <c r="BJ30" s="148">
        <f>燃料消費量!$D$21</f>
        <v>0.35</v>
      </c>
      <c r="BK30" s="148"/>
      <c r="BL30" s="98">
        <f t="shared" si="11"/>
        <v>4.1400000000000272</v>
      </c>
      <c r="BM30" s="7">
        <f t="shared" si="6"/>
        <v>11.828571428571507</v>
      </c>
      <c r="BO30" s="6">
        <v>10</v>
      </c>
      <c r="BP30" s="36"/>
      <c r="BQ30" s="36" t="s">
        <v>100</v>
      </c>
      <c r="BR30" s="34">
        <v>2</v>
      </c>
      <c r="BS30" s="32">
        <v>21</v>
      </c>
      <c r="BT30" s="148">
        <f>燃料消費量!$B$33</f>
        <v>0.35</v>
      </c>
      <c r="BU30" s="148"/>
      <c r="BV30" s="98">
        <f t="shared" si="12"/>
        <v>3.1600000000000281</v>
      </c>
      <c r="BW30" s="7">
        <f t="shared" si="27"/>
        <v>9.0285714285715102</v>
      </c>
      <c r="BY30" s="6">
        <v>10</v>
      </c>
      <c r="BZ30" s="36"/>
      <c r="CA30" s="36" t="s">
        <v>6</v>
      </c>
      <c r="CB30" s="34">
        <v>2</v>
      </c>
      <c r="CC30" s="32">
        <v>24</v>
      </c>
      <c r="CD30" s="148">
        <f>燃料消費量!$B$33</f>
        <v>0.35</v>
      </c>
      <c r="CE30" s="148"/>
      <c r="CF30" s="98">
        <f t="shared" si="13"/>
        <v>2.5300000000000282</v>
      </c>
      <c r="CG30" s="7">
        <f t="shared" si="14"/>
        <v>7.2285714285715095</v>
      </c>
      <c r="CI30" s="6">
        <v>10</v>
      </c>
      <c r="CJ30" s="36"/>
      <c r="CK30" s="36" t="s">
        <v>6</v>
      </c>
      <c r="CL30" s="34">
        <v>2</v>
      </c>
      <c r="CM30" s="32">
        <v>22</v>
      </c>
      <c r="CN30" s="148">
        <f>燃料消費量!$B$33</f>
        <v>0.35</v>
      </c>
      <c r="CO30" s="148"/>
      <c r="CP30" s="98">
        <f t="shared" si="25"/>
        <v>3.3200000000000296</v>
      </c>
      <c r="CQ30" s="7">
        <f t="shared" si="26"/>
        <v>9.485714285714371</v>
      </c>
      <c r="CS30" s="6">
        <v>10</v>
      </c>
      <c r="CT30" s="36"/>
      <c r="CU30" s="36"/>
      <c r="CV30" s="34"/>
      <c r="CW30" s="32"/>
      <c r="CX30" s="148" t="str">
        <f t="shared" si="15"/>
        <v/>
      </c>
      <c r="CY30" s="148"/>
      <c r="CZ30" s="98" t="str">
        <f t="shared" si="16"/>
        <v/>
      </c>
      <c r="DA30" s="7" t="str">
        <f t="shared" si="17"/>
        <v/>
      </c>
      <c r="DC30" s="6">
        <v>10</v>
      </c>
      <c r="DD30" s="36"/>
      <c r="DE30" s="36"/>
      <c r="DF30" s="34"/>
      <c r="DG30" s="32"/>
      <c r="DH30" s="148" t="str">
        <f t="shared" si="18"/>
        <v/>
      </c>
      <c r="DI30" s="148"/>
      <c r="DJ30" s="98" t="str">
        <f t="shared" si="19"/>
        <v/>
      </c>
      <c r="DK30" s="7" t="str">
        <f t="shared" si="20"/>
        <v/>
      </c>
      <c r="DM30" s="6">
        <v>10</v>
      </c>
      <c r="DN30" s="36"/>
      <c r="DO30" s="36"/>
      <c r="DP30" s="34"/>
      <c r="DQ30" s="32"/>
      <c r="DR30" s="148" t="str">
        <f t="shared" si="21"/>
        <v/>
      </c>
      <c r="DS30" s="148"/>
      <c r="DT30" s="98" t="str">
        <f t="shared" si="22"/>
        <v/>
      </c>
      <c r="DU30" s="7" t="str">
        <f t="shared" si="23"/>
        <v/>
      </c>
    </row>
    <row r="31" spans="1:125" x14ac:dyDescent="0.2">
      <c r="A31" s="15"/>
      <c r="G31" s="6">
        <v>11</v>
      </c>
      <c r="H31" s="36"/>
      <c r="I31" s="36" t="s">
        <v>100</v>
      </c>
      <c r="J31" s="34">
        <v>2</v>
      </c>
      <c r="K31" s="32">
        <v>21</v>
      </c>
      <c r="L31" s="148">
        <f>燃料消費量!$B$17</f>
        <v>0.35</v>
      </c>
      <c r="M31" s="148"/>
      <c r="N31" s="98">
        <f t="shared" si="0"/>
        <v>10.050000000000004</v>
      </c>
      <c r="O31" s="7">
        <f t="shared" si="24"/>
        <v>28.71428571428573</v>
      </c>
      <c r="Q31" s="6">
        <v>11</v>
      </c>
      <c r="R31" s="36"/>
      <c r="S31" s="36" t="s">
        <v>100</v>
      </c>
      <c r="T31" s="34">
        <v>2</v>
      </c>
      <c r="U31" s="32">
        <v>24</v>
      </c>
      <c r="V31" s="148">
        <f>燃料消費量!$C$15</f>
        <v>0.35</v>
      </c>
      <c r="W31" s="148"/>
      <c r="X31" s="98">
        <f t="shared" si="1"/>
        <v>7.3400000000000123</v>
      </c>
      <c r="Y31" s="7">
        <f t="shared" si="2"/>
        <v>20.971428571428607</v>
      </c>
      <c r="AA31" s="6">
        <v>11</v>
      </c>
      <c r="AB31" s="36"/>
      <c r="AC31" s="36" t="s">
        <v>6</v>
      </c>
      <c r="AD31" s="34">
        <v>2</v>
      </c>
      <c r="AE31" s="32">
        <v>22</v>
      </c>
      <c r="AF31" s="148">
        <f>燃料消費量!$D$21</f>
        <v>0.35</v>
      </c>
      <c r="AG31" s="148"/>
      <c r="AH31" s="98">
        <f t="shared" si="8"/>
        <v>7.4100000000000161</v>
      </c>
      <c r="AI31" s="7">
        <f t="shared" si="3"/>
        <v>21.171428571428621</v>
      </c>
      <c r="AK31" s="6">
        <v>11</v>
      </c>
      <c r="AL31" s="36"/>
      <c r="AM31" s="36" t="s">
        <v>99</v>
      </c>
      <c r="AN31" s="34">
        <v>2</v>
      </c>
      <c r="AO31" s="32">
        <v>21</v>
      </c>
      <c r="AP31" s="148">
        <f>燃料消費量!$B$17</f>
        <v>0.35</v>
      </c>
      <c r="AQ31" s="148"/>
      <c r="AR31" s="98">
        <f t="shared" si="9"/>
        <v>5.3800000000000221</v>
      </c>
      <c r="AS31" s="7">
        <f t="shared" si="4"/>
        <v>15.371428571428636</v>
      </c>
      <c r="AT31" s="3"/>
      <c r="AU31" s="6">
        <v>11</v>
      </c>
      <c r="AV31" s="36"/>
      <c r="AW31" s="36" t="s">
        <v>6</v>
      </c>
      <c r="AX31" s="34">
        <v>2</v>
      </c>
      <c r="AY31" s="32">
        <v>24</v>
      </c>
      <c r="AZ31" s="148">
        <f>燃料消費量!$C$15</f>
        <v>0.35</v>
      </c>
      <c r="BA31" s="148"/>
      <c r="BB31" s="98">
        <f t="shared" si="10"/>
        <v>3.0200000000000249</v>
      </c>
      <c r="BC31" s="7">
        <f t="shared" si="5"/>
        <v>8.6285714285715009</v>
      </c>
      <c r="BE31" s="6">
        <v>11</v>
      </c>
      <c r="BF31" s="36"/>
      <c r="BG31" s="36" t="s">
        <v>100</v>
      </c>
      <c r="BH31" s="34">
        <v>2</v>
      </c>
      <c r="BI31" s="32">
        <v>22</v>
      </c>
      <c r="BJ31" s="148">
        <f>燃料消費量!$D$21</f>
        <v>0.35</v>
      </c>
      <c r="BK31" s="148"/>
      <c r="BL31" s="98">
        <f t="shared" si="11"/>
        <v>3.7900000000000271</v>
      </c>
      <c r="BM31" s="7">
        <f t="shared" si="6"/>
        <v>10.828571428571507</v>
      </c>
      <c r="BO31" s="6">
        <v>11</v>
      </c>
      <c r="BP31" s="36"/>
      <c r="BQ31" s="36" t="s">
        <v>100</v>
      </c>
      <c r="BR31" s="34">
        <v>2</v>
      </c>
      <c r="BS31" s="32">
        <v>21</v>
      </c>
      <c r="BT31" s="148">
        <f>燃料消費量!$B$33</f>
        <v>0.35</v>
      </c>
      <c r="BU31" s="148"/>
      <c r="BV31" s="98">
        <f t="shared" si="12"/>
        <v>2.810000000000028</v>
      </c>
      <c r="BW31" s="7">
        <f t="shared" si="27"/>
        <v>8.0285714285715084</v>
      </c>
      <c r="BY31" s="6">
        <v>11</v>
      </c>
      <c r="BZ31" s="36"/>
      <c r="CA31" s="36" t="s">
        <v>6</v>
      </c>
      <c r="CB31" s="34">
        <v>2</v>
      </c>
      <c r="CC31" s="32">
        <v>24</v>
      </c>
      <c r="CD31" s="148">
        <f>燃料消費量!$B$33</f>
        <v>0.35</v>
      </c>
      <c r="CE31" s="148"/>
      <c r="CF31" s="98">
        <f t="shared" si="13"/>
        <v>2.1800000000000281</v>
      </c>
      <c r="CG31" s="7">
        <f t="shared" si="14"/>
        <v>6.2285714285715095</v>
      </c>
      <c r="CI31" s="6">
        <v>11</v>
      </c>
      <c r="CJ31" s="36"/>
      <c r="CK31" s="36" t="s">
        <v>6</v>
      </c>
      <c r="CL31" s="34">
        <v>2</v>
      </c>
      <c r="CM31" s="32">
        <v>22</v>
      </c>
      <c r="CN31" s="148">
        <f>燃料消費量!$B$33</f>
        <v>0.35</v>
      </c>
      <c r="CO31" s="148"/>
      <c r="CP31" s="98">
        <f t="shared" si="25"/>
        <v>2.9700000000000295</v>
      </c>
      <c r="CQ31" s="7">
        <f t="shared" si="26"/>
        <v>8.485714285714371</v>
      </c>
      <c r="CS31" s="6">
        <v>11</v>
      </c>
      <c r="CT31" s="36"/>
      <c r="CU31" s="36"/>
      <c r="CV31" s="34"/>
      <c r="CW31" s="32"/>
      <c r="CX31" s="148" t="str">
        <f t="shared" si="15"/>
        <v/>
      </c>
      <c r="CY31" s="148"/>
      <c r="CZ31" s="98" t="str">
        <f t="shared" si="16"/>
        <v/>
      </c>
      <c r="DA31" s="7" t="str">
        <f t="shared" si="17"/>
        <v/>
      </c>
      <c r="DC31" s="6">
        <v>11</v>
      </c>
      <c r="DD31" s="36"/>
      <c r="DE31" s="36"/>
      <c r="DF31" s="34"/>
      <c r="DG31" s="32"/>
      <c r="DH31" s="148" t="str">
        <f t="shared" si="18"/>
        <v/>
      </c>
      <c r="DI31" s="148"/>
      <c r="DJ31" s="98" t="str">
        <f t="shared" si="19"/>
        <v/>
      </c>
      <c r="DK31" s="7" t="str">
        <f t="shared" si="20"/>
        <v/>
      </c>
      <c r="DM31" s="6">
        <v>11</v>
      </c>
      <c r="DN31" s="36"/>
      <c r="DO31" s="36"/>
      <c r="DP31" s="34"/>
      <c r="DQ31" s="32"/>
      <c r="DR31" s="148" t="str">
        <f t="shared" si="21"/>
        <v/>
      </c>
      <c r="DS31" s="148"/>
      <c r="DT31" s="98" t="str">
        <f t="shared" si="22"/>
        <v/>
      </c>
      <c r="DU31" s="7" t="str">
        <f t="shared" si="23"/>
        <v/>
      </c>
    </row>
    <row r="32" spans="1:125" x14ac:dyDescent="0.2">
      <c r="G32" s="6">
        <v>12</v>
      </c>
      <c r="H32" s="36"/>
      <c r="I32" s="36" t="s">
        <v>100</v>
      </c>
      <c r="J32" s="34">
        <v>2</v>
      </c>
      <c r="K32" s="32">
        <v>21</v>
      </c>
      <c r="L32" s="148">
        <f>燃料消費量!$B$17</f>
        <v>0.35</v>
      </c>
      <c r="M32" s="148"/>
      <c r="N32" s="98">
        <f>IF(L32="","",N31-L32)</f>
        <v>9.7000000000000046</v>
      </c>
      <c r="O32" s="7">
        <f t="shared" si="24"/>
        <v>27.71428571428573</v>
      </c>
      <c r="Q32" s="6">
        <v>12</v>
      </c>
      <c r="R32" s="36"/>
      <c r="S32" s="36" t="s">
        <v>100</v>
      </c>
      <c r="T32" s="34">
        <v>2</v>
      </c>
      <c r="U32" s="32">
        <v>24</v>
      </c>
      <c r="V32" s="148">
        <f>燃料消費量!$C$15</f>
        <v>0.35</v>
      </c>
      <c r="W32" s="148"/>
      <c r="X32" s="98">
        <f t="shared" si="1"/>
        <v>6.9900000000000126</v>
      </c>
      <c r="Y32" s="7">
        <f t="shared" si="2"/>
        <v>19.971428571428607</v>
      </c>
      <c r="AA32" s="6">
        <v>12</v>
      </c>
      <c r="AB32" s="36"/>
      <c r="AC32" s="36" t="s">
        <v>6</v>
      </c>
      <c r="AD32" s="34">
        <v>2</v>
      </c>
      <c r="AE32" s="32">
        <v>22</v>
      </c>
      <c r="AF32" s="148">
        <f>燃料消費量!$D$21</f>
        <v>0.35</v>
      </c>
      <c r="AG32" s="148"/>
      <c r="AH32" s="98">
        <f t="shared" si="8"/>
        <v>7.0600000000000165</v>
      </c>
      <c r="AI32" s="7">
        <f t="shared" si="3"/>
        <v>20.171428571428621</v>
      </c>
      <c r="AK32" s="6">
        <v>12</v>
      </c>
      <c r="AL32" s="36"/>
      <c r="AM32" s="36" t="s">
        <v>99</v>
      </c>
      <c r="AN32" s="34">
        <v>2</v>
      </c>
      <c r="AO32" s="32">
        <v>21</v>
      </c>
      <c r="AP32" s="148">
        <f>燃料消費量!$B$17</f>
        <v>0.35</v>
      </c>
      <c r="AQ32" s="148"/>
      <c r="AR32" s="98">
        <f t="shared" si="9"/>
        <v>5.0300000000000225</v>
      </c>
      <c r="AS32" s="7">
        <f t="shared" si="4"/>
        <v>14.371428571428636</v>
      </c>
      <c r="AT32" s="3"/>
      <c r="AU32" s="6">
        <v>12</v>
      </c>
      <c r="AV32" s="36"/>
      <c r="AW32" s="36" t="s">
        <v>6</v>
      </c>
      <c r="AX32" s="34">
        <v>2</v>
      </c>
      <c r="AY32" s="32">
        <v>24</v>
      </c>
      <c r="AZ32" s="148">
        <f>燃料消費量!$C$15</f>
        <v>0.35</v>
      </c>
      <c r="BA32" s="148"/>
      <c r="BB32" s="98">
        <f t="shared" si="10"/>
        <v>2.6700000000000248</v>
      </c>
      <c r="BC32" s="7">
        <f t="shared" si="5"/>
        <v>7.6285714285715001</v>
      </c>
      <c r="BE32" s="6">
        <v>12</v>
      </c>
      <c r="BF32" s="36"/>
      <c r="BG32" s="36" t="s">
        <v>100</v>
      </c>
      <c r="BH32" s="34">
        <v>2</v>
      </c>
      <c r="BI32" s="32">
        <v>22</v>
      </c>
      <c r="BJ32" s="148">
        <f>燃料消費量!$D$21</f>
        <v>0.35</v>
      </c>
      <c r="BK32" s="148"/>
      <c r="BL32" s="98">
        <f t="shared" si="11"/>
        <v>3.440000000000027</v>
      </c>
      <c r="BM32" s="7">
        <f t="shared" si="6"/>
        <v>9.8285714285715056</v>
      </c>
      <c r="BO32" s="6">
        <v>12</v>
      </c>
      <c r="BP32" s="36"/>
      <c r="BQ32" s="36" t="s">
        <v>100</v>
      </c>
      <c r="BR32" s="34">
        <v>2</v>
      </c>
      <c r="BS32" s="32">
        <v>21</v>
      </c>
      <c r="BT32" s="148">
        <f>燃料消費量!$B$33</f>
        <v>0.35</v>
      </c>
      <c r="BU32" s="148"/>
      <c r="BV32" s="98">
        <f t="shared" si="12"/>
        <v>2.4600000000000279</v>
      </c>
      <c r="BW32" s="7">
        <f t="shared" si="27"/>
        <v>7.0285714285715093</v>
      </c>
      <c r="BY32" s="6">
        <v>12</v>
      </c>
      <c r="BZ32" s="36"/>
      <c r="CA32" s="36" t="s">
        <v>6</v>
      </c>
      <c r="CB32" s="34">
        <v>2</v>
      </c>
      <c r="CC32" s="32">
        <v>24</v>
      </c>
      <c r="CD32" s="148">
        <f>燃料消費量!$B$33</f>
        <v>0.35</v>
      </c>
      <c r="CE32" s="148"/>
      <c r="CF32" s="98">
        <f t="shared" si="13"/>
        <v>1.830000000000028</v>
      </c>
      <c r="CG32" s="7">
        <f t="shared" si="14"/>
        <v>5.2285714285715095</v>
      </c>
      <c r="CI32" s="6">
        <v>12</v>
      </c>
      <c r="CJ32" s="36"/>
      <c r="CK32" s="36" t="s">
        <v>6</v>
      </c>
      <c r="CL32" s="34">
        <v>2</v>
      </c>
      <c r="CM32" s="32">
        <v>22</v>
      </c>
      <c r="CN32" s="148">
        <f>燃料消費量!$B$33</f>
        <v>0.35</v>
      </c>
      <c r="CO32" s="148"/>
      <c r="CP32" s="98">
        <f t="shared" si="25"/>
        <v>2.6200000000000294</v>
      </c>
      <c r="CQ32" s="7">
        <f t="shared" si="26"/>
        <v>7.4857142857143701</v>
      </c>
      <c r="CS32" s="6">
        <v>12</v>
      </c>
      <c r="CT32" s="36"/>
      <c r="CU32" s="36"/>
      <c r="CV32" s="34"/>
      <c r="CW32" s="32"/>
      <c r="CX32" s="148" t="str">
        <f t="shared" si="15"/>
        <v/>
      </c>
      <c r="CY32" s="148"/>
      <c r="CZ32" s="98" t="str">
        <f t="shared" si="16"/>
        <v/>
      </c>
      <c r="DA32" s="7" t="str">
        <f t="shared" si="17"/>
        <v/>
      </c>
      <c r="DC32" s="6">
        <v>12</v>
      </c>
      <c r="DD32" s="36"/>
      <c r="DE32" s="36"/>
      <c r="DF32" s="34"/>
      <c r="DG32" s="32"/>
      <c r="DH32" s="148" t="str">
        <f t="shared" si="18"/>
        <v/>
      </c>
      <c r="DI32" s="148"/>
      <c r="DJ32" s="98" t="str">
        <f t="shared" si="19"/>
        <v/>
      </c>
      <c r="DK32" s="7" t="str">
        <f t="shared" si="20"/>
        <v/>
      </c>
      <c r="DM32" s="6">
        <v>12</v>
      </c>
      <c r="DN32" s="36"/>
      <c r="DO32" s="36"/>
      <c r="DP32" s="34"/>
      <c r="DQ32" s="32"/>
      <c r="DR32" s="148" t="str">
        <f t="shared" si="21"/>
        <v/>
      </c>
      <c r="DS32" s="148"/>
      <c r="DT32" s="98" t="str">
        <f t="shared" si="22"/>
        <v/>
      </c>
      <c r="DU32" s="7" t="str">
        <f t="shared" si="23"/>
        <v/>
      </c>
    </row>
    <row r="33" spans="7:125" x14ac:dyDescent="0.2">
      <c r="G33" s="6">
        <v>13</v>
      </c>
      <c r="H33" s="36"/>
      <c r="I33" s="36" t="s">
        <v>100</v>
      </c>
      <c r="J33" s="34">
        <v>2</v>
      </c>
      <c r="K33" s="32">
        <v>21</v>
      </c>
      <c r="L33" s="148">
        <f>燃料消費量!$B$17</f>
        <v>0.35</v>
      </c>
      <c r="M33" s="148"/>
      <c r="N33" s="98">
        <f t="shared" si="0"/>
        <v>9.350000000000005</v>
      </c>
      <c r="O33" s="7">
        <f t="shared" si="24"/>
        <v>26.71428571428573</v>
      </c>
      <c r="Q33" s="6">
        <v>13</v>
      </c>
      <c r="R33" s="36"/>
      <c r="S33" s="36" t="s">
        <v>100</v>
      </c>
      <c r="T33" s="34">
        <v>2</v>
      </c>
      <c r="U33" s="32">
        <v>24</v>
      </c>
      <c r="V33" s="148">
        <f>燃料消費量!$C$15</f>
        <v>0.35</v>
      </c>
      <c r="W33" s="148"/>
      <c r="X33" s="98">
        <f t="shared" si="1"/>
        <v>6.640000000000013</v>
      </c>
      <c r="Y33" s="7">
        <f t="shared" si="2"/>
        <v>18.971428571428611</v>
      </c>
      <c r="AA33" s="6">
        <v>13</v>
      </c>
      <c r="AB33" s="36"/>
      <c r="AC33" s="36" t="s">
        <v>6</v>
      </c>
      <c r="AD33" s="34">
        <v>2</v>
      </c>
      <c r="AE33" s="32">
        <v>22</v>
      </c>
      <c r="AF33" s="148">
        <f>燃料消費量!$D$21</f>
        <v>0.35</v>
      </c>
      <c r="AG33" s="148"/>
      <c r="AH33" s="98">
        <f t="shared" si="8"/>
        <v>6.7100000000000168</v>
      </c>
      <c r="AI33" s="7">
        <f t="shared" si="3"/>
        <v>19.171428571428621</v>
      </c>
      <c r="AK33" s="6">
        <v>13</v>
      </c>
      <c r="AL33" s="36"/>
      <c r="AM33" s="36" t="s">
        <v>99</v>
      </c>
      <c r="AN33" s="34">
        <v>2</v>
      </c>
      <c r="AO33" s="32">
        <v>21</v>
      </c>
      <c r="AP33" s="148">
        <f>燃料消費量!$B$17</f>
        <v>0.35</v>
      </c>
      <c r="AQ33" s="148"/>
      <c r="AR33" s="98">
        <f t="shared" si="9"/>
        <v>4.6800000000000228</v>
      </c>
      <c r="AS33" s="7">
        <f t="shared" si="4"/>
        <v>13.371428571428638</v>
      </c>
      <c r="AT33" s="3"/>
      <c r="AU33" s="6">
        <v>13</v>
      </c>
      <c r="AV33" s="36"/>
      <c r="AW33" s="36" t="s">
        <v>99</v>
      </c>
      <c r="AX33" s="34">
        <v>6</v>
      </c>
      <c r="AY33" s="32">
        <v>24</v>
      </c>
      <c r="AZ33" s="148">
        <f>燃料消費量!$C$15</f>
        <v>0.35</v>
      </c>
      <c r="BA33" s="148"/>
      <c r="BB33" s="98">
        <f t="shared" si="10"/>
        <v>2.3200000000000247</v>
      </c>
      <c r="BC33" s="7">
        <f t="shared" si="5"/>
        <v>6.6285714285714992</v>
      </c>
      <c r="BE33" s="6">
        <v>13</v>
      </c>
      <c r="BF33" s="36"/>
      <c r="BG33" s="36" t="s">
        <v>99</v>
      </c>
      <c r="BH33" s="34">
        <v>2</v>
      </c>
      <c r="BI33" s="32">
        <v>22</v>
      </c>
      <c r="BJ33" s="148">
        <f>燃料消費量!$D$21</f>
        <v>0.35</v>
      </c>
      <c r="BK33" s="148"/>
      <c r="BL33" s="98">
        <f t="shared" si="11"/>
        <v>3.0900000000000269</v>
      </c>
      <c r="BM33" s="7">
        <f t="shared" si="6"/>
        <v>8.8285714285715056</v>
      </c>
      <c r="BO33" s="6">
        <v>13</v>
      </c>
      <c r="BP33" s="36"/>
      <c r="BQ33" s="36" t="s">
        <v>100</v>
      </c>
      <c r="BR33" s="34">
        <v>2</v>
      </c>
      <c r="BS33" s="32">
        <v>21</v>
      </c>
      <c r="BT33" s="148">
        <f>燃料消費量!$B$33</f>
        <v>0.35</v>
      </c>
      <c r="BU33" s="148"/>
      <c r="BV33" s="98">
        <f t="shared" si="12"/>
        <v>2.1100000000000279</v>
      </c>
      <c r="BW33" s="7">
        <f t="shared" si="27"/>
        <v>6.0285714285715084</v>
      </c>
      <c r="BY33" s="6">
        <v>13</v>
      </c>
      <c r="BZ33" s="36" t="s">
        <v>103</v>
      </c>
      <c r="CA33" s="36" t="s">
        <v>99</v>
      </c>
      <c r="CB33" s="34">
        <v>6</v>
      </c>
      <c r="CC33" s="32">
        <v>24</v>
      </c>
      <c r="CD33" s="148">
        <f>燃料消費量!$B$33</f>
        <v>0.35</v>
      </c>
      <c r="CE33" s="148"/>
      <c r="CF33" s="98">
        <f t="shared" si="13"/>
        <v>1.480000000000028</v>
      </c>
      <c r="CG33" s="7">
        <f t="shared" si="14"/>
        <v>4.2285714285715086</v>
      </c>
      <c r="CI33" s="6">
        <v>13</v>
      </c>
      <c r="CJ33" s="36"/>
      <c r="CK33" s="36" t="s">
        <v>6</v>
      </c>
      <c r="CL33" s="34">
        <v>2</v>
      </c>
      <c r="CM33" s="32">
        <v>22</v>
      </c>
      <c r="CN33" s="148">
        <f>燃料消費量!$B$33</f>
        <v>0.35</v>
      </c>
      <c r="CO33" s="148"/>
      <c r="CP33" s="98">
        <f t="shared" ref="CP33:CP40" si="28">IF(CN33="","",CP32-CN33)</f>
        <v>2.2700000000000293</v>
      </c>
      <c r="CQ33" s="7">
        <f t="shared" ref="CQ33:CQ40" si="29">CP33/CN33</f>
        <v>6.4857142857143701</v>
      </c>
      <c r="CS33" s="6">
        <v>13</v>
      </c>
      <c r="CT33" s="36"/>
      <c r="CU33" s="36"/>
      <c r="CV33" s="34"/>
      <c r="CW33" s="32"/>
      <c r="CX33" s="148" t="str">
        <f t="shared" si="15"/>
        <v/>
      </c>
      <c r="CY33" s="148"/>
      <c r="CZ33" s="98" t="str">
        <f t="shared" si="16"/>
        <v/>
      </c>
      <c r="DA33" s="7" t="str">
        <f t="shared" si="17"/>
        <v/>
      </c>
      <c r="DC33" s="6">
        <v>13</v>
      </c>
      <c r="DD33" s="36"/>
      <c r="DE33" s="36"/>
      <c r="DF33" s="34"/>
      <c r="DG33" s="32"/>
      <c r="DH33" s="148" t="str">
        <f t="shared" si="18"/>
        <v/>
      </c>
      <c r="DI33" s="148"/>
      <c r="DJ33" s="98" t="str">
        <f t="shared" si="19"/>
        <v/>
      </c>
      <c r="DK33" s="7" t="str">
        <f t="shared" si="20"/>
        <v/>
      </c>
      <c r="DM33" s="6">
        <v>13</v>
      </c>
      <c r="DN33" s="36"/>
      <c r="DO33" s="36"/>
      <c r="DP33" s="34"/>
      <c r="DQ33" s="32"/>
      <c r="DR33" s="148" t="str">
        <f t="shared" si="21"/>
        <v/>
      </c>
      <c r="DS33" s="148"/>
      <c r="DT33" s="98" t="str">
        <f t="shared" si="22"/>
        <v/>
      </c>
      <c r="DU33" s="7" t="str">
        <f t="shared" si="23"/>
        <v/>
      </c>
    </row>
    <row r="34" spans="7:125" x14ac:dyDescent="0.2">
      <c r="G34" s="6">
        <v>14</v>
      </c>
      <c r="H34" s="36"/>
      <c r="I34" s="36" t="s">
        <v>100</v>
      </c>
      <c r="J34" s="34">
        <v>2</v>
      </c>
      <c r="K34" s="32">
        <v>21</v>
      </c>
      <c r="L34" s="148">
        <f>燃料消費量!$B$17</f>
        <v>0.35</v>
      </c>
      <c r="M34" s="148"/>
      <c r="N34" s="98">
        <f t="shared" si="0"/>
        <v>9.0000000000000053</v>
      </c>
      <c r="O34" s="7">
        <f t="shared" si="24"/>
        <v>25.71428571428573</v>
      </c>
      <c r="Q34" s="6">
        <v>14</v>
      </c>
      <c r="R34" s="36"/>
      <c r="S34" s="36" t="s">
        <v>100</v>
      </c>
      <c r="T34" s="34">
        <v>2</v>
      </c>
      <c r="U34" s="32">
        <v>24</v>
      </c>
      <c r="V34" s="148">
        <f>燃料消費量!$C$15</f>
        <v>0.35</v>
      </c>
      <c r="W34" s="148"/>
      <c r="X34" s="98">
        <f t="shared" si="1"/>
        <v>6.2900000000000134</v>
      </c>
      <c r="Y34" s="7">
        <f t="shared" si="2"/>
        <v>17.971428571428611</v>
      </c>
      <c r="AA34" s="6">
        <v>14</v>
      </c>
      <c r="AB34" s="36"/>
      <c r="AC34" s="36" t="s">
        <v>6</v>
      </c>
      <c r="AD34" s="34">
        <v>2</v>
      </c>
      <c r="AE34" s="32">
        <v>22</v>
      </c>
      <c r="AF34" s="148">
        <f>燃料消費量!$D$21</f>
        <v>0.35</v>
      </c>
      <c r="AG34" s="148"/>
      <c r="AH34" s="98">
        <f t="shared" si="8"/>
        <v>6.3600000000000172</v>
      </c>
      <c r="AI34" s="7">
        <f t="shared" si="3"/>
        <v>18.171428571428621</v>
      </c>
      <c r="AK34" s="6">
        <v>14</v>
      </c>
      <c r="AL34" s="36"/>
      <c r="AM34" s="36" t="s">
        <v>99</v>
      </c>
      <c r="AN34" s="34">
        <v>2</v>
      </c>
      <c r="AO34" s="32">
        <v>21</v>
      </c>
      <c r="AP34" s="148">
        <f>燃料消費量!$B$17</f>
        <v>0.35</v>
      </c>
      <c r="AQ34" s="148"/>
      <c r="AR34" s="98">
        <f t="shared" si="9"/>
        <v>4.3300000000000232</v>
      </c>
      <c r="AS34" s="7">
        <f t="shared" si="4"/>
        <v>12.371428571428638</v>
      </c>
      <c r="AT34" s="3"/>
      <c r="AU34" s="6">
        <v>14</v>
      </c>
      <c r="AV34" s="36"/>
      <c r="AW34" s="36"/>
      <c r="AX34" s="34"/>
      <c r="AY34" s="32"/>
      <c r="AZ34" s="148"/>
      <c r="BA34" s="148"/>
      <c r="BB34" s="98"/>
      <c r="BC34" s="7"/>
      <c r="BE34" s="6">
        <v>14</v>
      </c>
      <c r="BF34" s="36"/>
      <c r="BG34" s="36" t="s">
        <v>6</v>
      </c>
      <c r="BH34" s="34">
        <v>2</v>
      </c>
      <c r="BI34" s="32">
        <v>22</v>
      </c>
      <c r="BJ34" s="148">
        <f>燃料消費量!$D$21</f>
        <v>0.35</v>
      </c>
      <c r="BK34" s="148"/>
      <c r="BL34" s="98">
        <f t="shared" ref="BL34:BL38" si="30">IF(BJ34="","",BL33-BJ34)</f>
        <v>2.7400000000000269</v>
      </c>
      <c r="BM34" s="7">
        <f t="shared" ref="BM34:BM38" si="31">BL34/BJ34</f>
        <v>7.8285714285715056</v>
      </c>
      <c r="BO34" s="6">
        <v>14</v>
      </c>
      <c r="BP34" s="36"/>
      <c r="BQ34" s="36" t="s">
        <v>100</v>
      </c>
      <c r="BR34" s="34">
        <v>2</v>
      </c>
      <c r="BS34" s="32">
        <v>21</v>
      </c>
      <c r="BT34" s="148">
        <f>燃料消費量!$B$33</f>
        <v>0.35</v>
      </c>
      <c r="BU34" s="148"/>
      <c r="BV34" s="98">
        <f t="shared" si="12"/>
        <v>1.7600000000000278</v>
      </c>
      <c r="BW34" s="7">
        <f t="shared" si="27"/>
        <v>5.0285714285715084</v>
      </c>
      <c r="BY34" s="6">
        <v>14</v>
      </c>
      <c r="BZ34" s="36"/>
      <c r="CA34" s="36"/>
      <c r="CB34" s="34"/>
      <c r="CC34" s="32"/>
      <c r="CD34" s="148"/>
      <c r="CE34" s="148"/>
      <c r="CF34" s="98"/>
      <c r="CG34" s="7"/>
      <c r="CI34" s="6">
        <v>14</v>
      </c>
      <c r="CJ34" s="36"/>
      <c r="CK34" s="36" t="s">
        <v>6</v>
      </c>
      <c r="CL34" s="34">
        <v>2</v>
      </c>
      <c r="CM34" s="32">
        <v>22</v>
      </c>
      <c r="CN34" s="148">
        <f>燃料消費量!$B$33</f>
        <v>0.35</v>
      </c>
      <c r="CO34" s="148"/>
      <c r="CP34" s="98">
        <f t="shared" si="28"/>
        <v>1.9200000000000292</v>
      </c>
      <c r="CQ34" s="7">
        <f t="shared" si="29"/>
        <v>5.4857142857143693</v>
      </c>
      <c r="CS34" s="6">
        <v>14</v>
      </c>
      <c r="CT34" s="36"/>
      <c r="CU34" s="36"/>
      <c r="CV34" s="34"/>
      <c r="CW34" s="32"/>
      <c r="CX34" s="148" t="str">
        <f t="shared" si="15"/>
        <v/>
      </c>
      <c r="CY34" s="148"/>
      <c r="CZ34" s="98" t="str">
        <f t="shared" si="16"/>
        <v/>
      </c>
      <c r="DA34" s="7" t="str">
        <f t="shared" si="17"/>
        <v/>
      </c>
      <c r="DC34" s="6">
        <v>14</v>
      </c>
      <c r="DD34" s="36"/>
      <c r="DE34" s="36"/>
      <c r="DF34" s="34"/>
      <c r="DG34" s="32"/>
      <c r="DH34" s="148" t="str">
        <f t="shared" si="18"/>
        <v/>
      </c>
      <c r="DI34" s="148"/>
      <c r="DJ34" s="98" t="str">
        <f t="shared" si="19"/>
        <v/>
      </c>
      <c r="DK34" s="7" t="str">
        <f t="shared" si="20"/>
        <v/>
      </c>
      <c r="DM34" s="6">
        <v>14</v>
      </c>
      <c r="DN34" s="36"/>
      <c r="DO34" s="36"/>
      <c r="DP34" s="34"/>
      <c r="DQ34" s="32"/>
      <c r="DR34" s="148" t="str">
        <f t="shared" si="21"/>
        <v/>
      </c>
      <c r="DS34" s="148"/>
      <c r="DT34" s="98" t="str">
        <f t="shared" si="22"/>
        <v/>
      </c>
      <c r="DU34" s="7" t="str">
        <f t="shared" si="23"/>
        <v/>
      </c>
    </row>
    <row r="35" spans="7:125" x14ac:dyDescent="0.2">
      <c r="G35" s="6">
        <v>15</v>
      </c>
      <c r="H35" s="36"/>
      <c r="I35" s="36" t="s">
        <v>100</v>
      </c>
      <c r="J35" s="34">
        <v>2</v>
      </c>
      <c r="K35" s="32">
        <v>21</v>
      </c>
      <c r="L35" s="148">
        <f>燃料消費量!$B$17</f>
        <v>0.35</v>
      </c>
      <c r="M35" s="148"/>
      <c r="N35" s="98">
        <f t="shared" si="0"/>
        <v>8.6500000000000057</v>
      </c>
      <c r="O35" s="7">
        <f t="shared" si="24"/>
        <v>24.714285714285733</v>
      </c>
      <c r="Q35" s="6">
        <v>15</v>
      </c>
      <c r="R35" s="36"/>
      <c r="S35" s="36" t="s">
        <v>6</v>
      </c>
      <c r="T35" s="34">
        <v>2</v>
      </c>
      <c r="U35" s="32">
        <v>25</v>
      </c>
      <c r="V35" s="148">
        <f>燃料消費量!$C$15</f>
        <v>0.35</v>
      </c>
      <c r="W35" s="148"/>
      <c r="X35" s="98">
        <f t="shared" si="1"/>
        <v>5.9400000000000137</v>
      </c>
      <c r="Y35" s="7">
        <f t="shared" si="2"/>
        <v>16.971428571428611</v>
      </c>
      <c r="AA35" s="6">
        <v>15</v>
      </c>
      <c r="AB35" s="36"/>
      <c r="AC35" s="36" t="s">
        <v>6</v>
      </c>
      <c r="AD35" s="34">
        <v>2</v>
      </c>
      <c r="AE35" s="32">
        <v>22</v>
      </c>
      <c r="AF35" s="148">
        <f>燃料消費量!$D$21</f>
        <v>0.35</v>
      </c>
      <c r="AG35" s="148"/>
      <c r="AH35" s="98">
        <f t="shared" si="8"/>
        <v>6.0100000000000176</v>
      </c>
      <c r="AI35" s="7">
        <f t="shared" si="3"/>
        <v>17.171428571428624</v>
      </c>
      <c r="AK35" s="6">
        <v>15</v>
      </c>
      <c r="AL35" s="36"/>
      <c r="AM35" s="36" t="s">
        <v>99</v>
      </c>
      <c r="AN35" s="34">
        <v>2</v>
      </c>
      <c r="AO35" s="32">
        <v>21</v>
      </c>
      <c r="AP35" s="148">
        <f>燃料消費量!$B$17</f>
        <v>0.35</v>
      </c>
      <c r="AQ35" s="148"/>
      <c r="AR35" s="98">
        <f t="shared" si="9"/>
        <v>3.9800000000000231</v>
      </c>
      <c r="AS35" s="7">
        <f t="shared" si="4"/>
        <v>11.371428571428638</v>
      </c>
      <c r="AT35" s="3"/>
      <c r="AU35" s="6">
        <v>15</v>
      </c>
      <c r="AV35" s="36"/>
      <c r="AW35" s="36"/>
      <c r="AX35" s="34"/>
      <c r="AY35" s="32"/>
      <c r="AZ35" s="148"/>
      <c r="BA35" s="148"/>
      <c r="BB35" s="98"/>
      <c r="BC35" s="7"/>
      <c r="BE35" s="6">
        <v>15</v>
      </c>
      <c r="BF35" s="36"/>
      <c r="BG35" s="36" t="s">
        <v>6</v>
      </c>
      <c r="BH35" s="34">
        <v>2</v>
      </c>
      <c r="BI35" s="32">
        <v>22</v>
      </c>
      <c r="BJ35" s="148">
        <f>燃料消費量!$D$21</f>
        <v>0.35</v>
      </c>
      <c r="BK35" s="148"/>
      <c r="BL35" s="98">
        <f t="shared" si="30"/>
        <v>2.3900000000000268</v>
      </c>
      <c r="BM35" s="7">
        <f t="shared" si="31"/>
        <v>6.8285714285715056</v>
      </c>
      <c r="BO35" s="6">
        <v>15</v>
      </c>
      <c r="BP35" s="36"/>
      <c r="BQ35" s="36" t="s">
        <v>6</v>
      </c>
      <c r="BR35" s="34">
        <v>2</v>
      </c>
      <c r="BS35" s="32">
        <v>21</v>
      </c>
      <c r="BT35" s="148">
        <f>燃料消費量!$B$33</f>
        <v>0.35</v>
      </c>
      <c r="BU35" s="148"/>
      <c r="BV35" s="98">
        <f t="shared" ref="BV35:BV37" si="32">IF(BT35="","",BV34-BT35)</f>
        <v>1.4100000000000277</v>
      </c>
      <c r="BW35" s="7">
        <f t="shared" ref="BW35:BW37" si="33">BV35/BT35</f>
        <v>4.0285714285715075</v>
      </c>
      <c r="BY35" s="6">
        <v>15</v>
      </c>
      <c r="CD35" s="148"/>
      <c r="CE35" s="148"/>
      <c r="CF35" s="98"/>
      <c r="CG35" s="7"/>
      <c r="CI35" s="6">
        <v>15</v>
      </c>
      <c r="CJ35" s="36"/>
      <c r="CK35" s="36" t="s">
        <v>6</v>
      </c>
      <c r="CL35" s="34">
        <v>2</v>
      </c>
      <c r="CM35" s="32">
        <v>22</v>
      </c>
      <c r="CN35" s="148"/>
      <c r="CO35" s="148"/>
      <c r="CP35" s="98" t="str">
        <f t="shared" si="28"/>
        <v/>
      </c>
      <c r="CQ35" s="7"/>
      <c r="CS35" s="6">
        <v>15</v>
      </c>
      <c r="CT35" s="36"/>
      <c r="CU35" s="36"/>
      <c r="CV35" s="34"/>
      <c r="CW35" s="32"/>
      <c r="CX35" s="148" t="str">
        <f t="shared" si="15"/>
        <v/>
      </c>
      <c r="CY35" s="148"/>
      <c r="CZ35" s="98" t="str">
        <f t="shared" si="16"/>
        <v/>
      </c>
      <c r="DA35" s="7" t="str">
        <f t="shared" si="17"/>
        <v/>
      </c>
      <c r="DC35" s="6">
        <v>15</v>
      </c>
      <c r="DD35" s="36"/>
      <c r="DE35" s="36"/>
      <c r="DF35" s="34"/>
      <c r="DG35" s="32"/>
      <c r="DH35" s="148" t="str">
        <f t="shared" si="18"/>
        <v/>
      </c>
      <c r="DI35" s="148"/>
      <c r="DJ35" s="98" t="str">
        <f t="shared" si="19"/>
        <v/>
      </c>
      <c r="DK35" s="7" t="str">
        <f t="shared" si="20"/>
        <v/>
      </c>
      <c r="DM35" s="6">
        <v>15</v>
      </c>
      <c r="DN35" s="36"/>
      <c r="DO35" s="36"/>
      <c r="DP35" s="34"/>
      <c r="DQ35" s="32"/>
      <c r="DR35" s="148" t="str">
        <f t="shared" si="21"/>
        <v/>
      </c>
      <c r="DS35" s="148"/>
      <c r="DT35" s="98" t="str">
        <f t="shared" si="22"/>
        <v/>
      </c>
      <c r="DU35" s="7" t="str">
        <f t="shared" si="23"/>
        <v/>
      </c>
    </row>
    <row r="36" spans="7:125" x14ac:dyDescent="0.2">
      <c r="G36" s="6">
        <v>16</v>
      </c>
      <c r="H36" s="36"/>
      <c r="I36" s="36" t="s">
        <v>100</v>
      </c>
      <c r="J36" s="34">
        <v>2</v>
      </c>
      <c r="K36" s="32">
        <v>21</v>
      </c>
      <c r="L36" s="148">
        <f>燃料消費量!$B$17</f>
        <v>0.35</v>
      </c>
      <c r="M36" s="148"/>
      <c r="N36" s="98">
        <f t="shared" si="0"/>
        <v>8.300000000000006</v>
      </c>
      <c r="O36" s="7">
        <f t="shared" si="24"/>
        <v>23.714285714285733</v>
      </c>
      <c r="Q36" s="6">
        <v>16</v>
      </c>
      <c r="R36" s="36"/>
      <c r="S36" s="36"/>
      <c r="T36" s="34"/>
      <c r="U36" s="32"/>
      <c r="V36" s="148"/>
      <c r="W36" s="148"/>
      <c r="X36" s="98"/>
      <c r="Y36" s="7"/>
      <c r="AA36" s="6">
        <v>16</v>
      </c>
      <c r="AB36" s="36"/>
      <c r="AC36" s="36" t="s">
        <v>6</v>
      </c>
      <c r="AD36" s="34">
        <v>2</v>
      </c>
      <c r="AE36" s="32">
        <v>22</v>
      </c>
      <c r="AF36" s="148">
        <f>燃料消費量!$D$21</f>
        <v>0.35</v>
      </c>
      <c r="AG36" s="148"/>
      <c r="AH36" s="98">
        <f t="shared" ref="AH36:AH41" si="34">IF(AF36="","",AH35-AF36)</f>
        <v>5.6600000000000179</v>
      </c>
      <c r="AI36" s="7">
        <f t="shared" ref="AI36:AI41" si="35">AH36/AF36</f>
        <v>16.171428571428624</v>
      </c>
      <c r="AK36" s="6">
        <v>16</v>
      </c>
      <c r="AL36" s="36"/>
      <c r="AM36" s="36" t="s">
        <v>99</v>
      </c>
      <c r="AN36" s="34">
        <v>2</v>
      </c>
      <c r="AO36" s="32">
        <v>21</v>
      </c>
      <c r="AP36" s="148">
        <f>燃料消費量!$B$17</f>
        <v>0.35</v>
      </c>
      <c r="AQ36" s="148"/>
      <c r="AR36" s="98">
        <f t="shared" si="9"/>
        <v>3.630000000000023</v>
      </c>
      <c r="AS36" s="7">
        <f t="shared" si="4"/>
        <v>10.371428571428638</v>
      </c>
      <c r="AT36" s="3"/>
      <c r="AU36" s="6">
        <v>16</v>
      </c>
      <c r="AV36" s="36"/>
      <c r="AW36" s="36"/>
      <c r="AX36" s="34"/>
      <c r="AY36" s="32"/>
      <c r="AZ36" s="148"/>
      <c r="BA36" s="148"/>
      <c r="BB36" s="98"/>
      <c r="BC36" s="7"/>
      <c r="BE36" s="6">
        <v>16</v>
      </c>
      <c r="BF36" s="36"/>
      <c r="BG36" s="36" t="s">
        <v>6</v>
      </c>
      <c r="BH36" s="34">
        <v>2</v>
      </c>
      <c r="BI36" s="32">
        <v>22</v>
      </c>
      <c r="BJ36" s="148">
        <f>燃料消費量!$D$21</f>
        <v>0.35</v>
      </c>
      <c r="BK36" s="148"/>
      <c r="BL36" s="98">
        <f t="shared" si="30"/>
        <v>2.0400000000000267</v>
      </c>
      <c r="BM36" s="7">
        <f t="shared" si="31"/>
        <v>5.8285714285715056</v>
      </c>
      <c r="BO36" s="6">
        <v>16</v>
      </c>
      <c r="BP36" s="36"/>
      <c r="BQ36" s="36" t="s">
        <v>6</v>
      </c>
      <c r="BR36" s="34">
        <v>2</v>
      </c>
      <c r="BS36" s="32">
        <v>21</v>
      </c>
      <c r="BT36" s="148">
        <f>燃料消費量!$B$33</f>
        <v>0.35</v>
      </c>
      <c r="BU36" s="148"/>
      <c r="BV36" s="98">
        <f t="shared" si="32"/>
        <v>1.0600000000000276</v>
      </c>
      <c r="BW36" s="7">
        <f t="shared" si="33"/>
        <v>3.0285714285715075</v>
      </c>
      <c r="BX36" s="7"/>
      <c r="BY36" s="6">
        <v>16</v>
      </c>
      <c r="BZ36" s="36"/>
      <c r="CA36" s="36"/>
      <c r="CB36" s="34"/>
      <c r="CC36" s="32"/>
      <c r="CD36" s="148"/>
      <c r="CE36" s="148"/>
      <c r="CF36" s="98" t="str">
        <f t="shared" si="13"/>
        <v/>
      </c>
      <c r="CG36" s="7"/>
      <c r="CI36" s="6">
        <v>16</v>
      </c>
      <c r="CJ36" s="36"/>
      <c r="CK36" s="36" t="s">
        <v>6</v>
      </c>
      <c r="CL36" s="34">
        <v>2</v>
      </c>
      <c r="CM36" s="32">
        <v>22</v>
      </c>
      <c r="CN36" s="148">
        <f>燃料消費量!$B$33</f>
        <v>0.35</v>
      </c>
      <c r="CO36" s="148"/>
      <c r="CP36" s="98" t="e">
        <f t="shared" si="28"/>
        <v>#VALUE!</v>
      </c>
      <c r="CQ36" s="7" t="e">
        <f t="shared" si="29"/>
        <v>#VALUE!</v>
      </c>
      <c r="CS36" s="6">
        <v>16</v>
      </c>
      <c r="CT36" s="36"/>
      <c r="CU36" s="36"/>
      <c r="CV36" s="34"/>
      <c r="CW36" s="32"/>
      <c r="CX36" s="148" t="str">
        <f t="shared" si="15"/>
        <v/>
      </c>
      <c r="CY36" s="148"/>
      <c r="CZ36" s="98" t="str">
        <f t="shared" si="16"/>
        <v/>
      </c>
      <c r="DA36" s="7" t="str">
        <f t="shared" si="17"/>
        <v/>
      </c>
      <c r="DC36" s="6">
        <v>16</v>
      </c>
      <c r="DD36" s="36"/>
      <c r="DE36" s="36"/>
      <c r="DF36" s="34"/>
      <c r="DG36" s="32"/>
      <c r="DH36" s="148" t="str">
        <f t="shared" si="18"/>
        <v/>
      </c>
      <c r="DI36" s="148"/>
      <c r="DJ36" s="98" t="str">
        <f t="shared" si="19"/>
        <v/>
      </c>
      <c r="DK36" s="7" t="str">
        <f t="shared" si="20"/>
        <v/>
      </c>
      <c r="DM36" s="6">
        <v>16</v>
      </c>
      <c r="DN36" s="36"/>
      <c r="DO36" s="36"/>
      <c r="DP36" s="34"/>
      <c r="DQ36" s="32"/>
      <c r="DR36" s="148" t="str">
        <f t="shared" si="21"/>
        <v/>
      </c>
      <c r="DS36" s="148"/>
      <c r="DT36" s="98" t="str">
        <f t="shared" si="22"/>
        <v/>
      </c>
      <c r="DU36" s="7" t="str">
        <f t="shared" si="23"/>
        <v/>
      </c>
    </row>
    <row r="37" spans="7:125" x14ac:dyDescent="0.2">
      <c r="G37" s="6">
        <v>17</v>
      </c>
      <c r="H37" s="36"/>
      <c r="I37" s="36" t="s">
        <v>100</v>
      </c>
      <c r="J37" s="34">
        <v>2</v>
      </c>
      <c r="K37" s="32">
        <v>21</v>
      </c>
      <c r="L37" s="148">
        <f>燃料消費量!$B$17</f>
        <v>0.35</v>
      </c>
      <c r="M37" s="148"/>
      <c r="N37" s="98">
        <f t="shared" si="0"/>
        <v>7.9500000000000064</v>
      </c>
      <c r="O37" s="7">
        <f t="shared" si="24"/>
        <v>22.714285714285733</v>
      </c>
      <c r="Q37" s="6">
        <v>17</v>
      </c>
      <c r="R37" s="36"/>
      <c r="S37" s="36"/>
      <c r="T37" s="34"/>
      <c r="U37" s="32"/>
      <c r="V37" s="148"/>
      <c r="W37" s="148"/>
      <c r="X37" s="98"/>
      <c r="Y37" s="7"/>
      <c r="AA37" s="6">
        <v>17</v>
      </c>
      <c r="AB37" s="36"/>
      <c r="AC37" s="36" t="s">
        <v>99</v>
      </c>
      <c r="AD37" s="34">
        <v>2</v>
      </c>
      <c r="AE37" s="32">
        <v>22</v>
      </c>
      <c r="AF37" s="148">
        <f>燃料消費量!$D$21</f>
        <v>0.35</v>
      </c>
      <c r="AG37" s="148"/>
      <c r="AH37" s="98">
        <f t="shared" si="34"/>
        <v>5.3100000000000183</v>
      </c>
      <c r="AI37" s="7">
        <f t="shared" si="35"/>
        <v>15.171428571428624</v>
      </c>
      <c r="AK37" s="6">
        <v>17</v>
      </c>
      <c r="AL37" s="36"/>
      <c r="AM37" s="36" t="s">
        <v>99</v>
      </c>
      <c r="AN37" s="34">
        <v>2</v>
      </c>
      <c r="AO37" s="32">
        <v>21</v>
      </c>
      <c r="AP37" s="148">
        <f>燃料消費量!$B$17</f>
        <v>0.35</v>
      </c>
      <c r="AQ37" s="148"/>
      <c r="AR37" s="98">
        <f t="shared" si="9"/>
        <v>3.2800000000000229</v>
      </c>
      <c r="AS37" s="7">
        <f t="shared" si="4"/>
        <v>9.3714285714286376</v>
      </c>
      <c r="AT37" s="3"/>
      <c r="AU37" s="6">
        <v>17</v>
      </c>
      <c r="AV37" s="36"/>
      <c r="AW37" s="36"/>
      <c r="AX37" s="34"/>
      <c r="AY37" s="32"/>
      <c r="AZ37" s="148"/>
      <c r="BA37" s="148"/>
      <c r="BB37" s="98"/>
      <c r="BC37" s="7"/>
      <c r="BE37" s="6">
        <v>17</v>
      </c>
      <c r="BF37" s="36"/>
      <c r="BG37" s="36" t="s">
        <v>6</v>
      </c>
      <c r="BH37" s="34">
        <v>2</v>
      </c>
      <c r="BI37" s="32">
        <v>22</v>
      </c>
      <c r="BJ37" s="148">
        <f>燃料消費量!$D$21</f>
        <v>0.35</v>
      </c>
      <c r="BK37" s="148"/>
      <c r="BL37" s="98">
        <f t="shared" si="30"/>
        <v>1.6900000000000266</v>
      </c>
      <c r="BM37" s="7">
        <f t="shared" si="31"/>
        <v>4.8285714285715047</v>
      </c>
      <c r="BO37" s="6">
        <v>17</v>
      </c>
      <c r="BP37" s="36" t="s">
        <v>105</v>
      </c>
      <c r="BQ37" s="36" t="s">
        <v>6</v>
      </c>
      <c r="BR37" s="34">
        <v>6</v>
      </c>
      <c r="BS37" s="32">
        <v>21</v>
      </c>
      <c r="BT37" s="148">
        <f>燃料消費量!$B$33</f>
        <v>0.35</v>
      </c>
      <c r="BU37" s="148"/>
      <c r="BV37" s="98">
        <f t="shared" si="32"/>
        <v>0.71000000000002761</v>
      </c>
      <c r="BW37" s="7">
        <f t="shared" si="33"/>
        <v>2.0285714285715075</v>
      </c>
      <c r="BY37" s="6">
        <v>17</v>
      </c>
      <c r="BZ37" s="36"/>
      <c r="CA37" s="36"/>
      <c r="CB37" s="34"/>
      <c r="CC37" s="32"/>
      <c r="CD37" s="148"/>
      <c r="CE37" s="148"/>
      <c r="CF37" s="98" t="str">
        <f t="shared" si="13"/>
        <v/>
      </c>
      <c r="CG37" s="7"/>
      <c r="CI37" s="6">
        <v>17</v>
      </c>
      <c r="CJ37" s="36"/>
      <c r="CK37" s="36" t="s">
        <v>6</v>
      </c>
      <c r="CL37" s="34">
        <v>2</v>
      </c>
      <c r="CM37" s="32">
        <v>22</v>
      </c>
      <c r="CN37" s="148">
        <f>燃料消費量!$B$33</f>
        <v>0.35</v>
      </c>
      <c r="CO37" s="148"/>
      <c r="CP37" s="98" t="e">
        <f t="shared" si="28"/>
        <v>#VALUE!</v>
      </c>
      <c r="CQ37" s="7" t="e">
        <f t="shared" si="29"/>
        <v>#VALUE!</v>
      </c>
      <c r="CS37" s="6">
        <v>17</v>
      </c>
      <c r="CT37" s="36"/>
      <c r="CU37" s="36"/>
      <c r="CV37" s="34"/>
      <c r="CW37" s="32"/>
      <c r="CX37" s="148" t="str">
        <f t="shared" si="15"/>
        <v/>
      </c>
      <c r="CY37" s="148"/>
      <c r="CZ37" s="98" t="str">
        <f t="shared" si="16"/>
        <v/>
      </c>
      <c r="DA37" s="7" t="str">
        <f t="shared" si="17"/>
        <v/>
      </c>
      <c r="DC37" s="6">
        <v>17</v>
      </c>
      <c r="DD37" s="36"/>
      <c r="DE37" s="36"/>
      <c r="DF37" s="34"/>
      <c r="DG37" s="32"/>
      <c r="DH37" s="148" t="str">
        <f t="shared" si="18"/>
        <v/>
      </c>
      <c r="DI37" s="148"/>
      <c r="DJ37" s="98" t="str">
        <f t="shared" si="19"/>
        <v/>
      </c>
      <c r="DK37" s="7" t="str">
        <f t="shared" si="20"/>
        <v/>
      </c>
      <c r="DM37" s="6">
        <v>17</v>
      </c>
      <c r="DN37" s="36"/>
      <c r="DO37" s="36"/>
      <c r="DP37" s="34"/>
      <c r="DQ37" s="32"/>
      <c r="DR37" s="148" t="str">
        <f t="shared" si="21"/>
        <v/>
      </c>
      <c r="DS37" s="148"/>
      <c r="DT37" s="98" t="str">
        <f t="shared" si="22"/>
        <v/>
      </c>
      <c r="DU37" s="7" t="str">
        <f t="shared" si="23"/>
        <v/>
      </c>
    </row>
    <row r="38" spans="7:125" x14ac:dyDescent="0.2">
      <c r="G38" s="6">
        <v>18</v>
      </c>
      <c r="H38" s="36"/>
      <c r="I38" s="36" t="s">
        <v>6</v>
      </c>
      <c r="J38" s="34">
        <v>2</v>
      </c>
      <c r="K38" s="32">
        <v>21</v>
      </c>
      <c r="L38" s="148">
        <f>燃料消費量!$B$17</f>
        <v>0.35</v>
      </c>
      <c r="M38" s="148"/>
      <c r="N38" s="98">
        <f t="shared" si="0"/>
        <v>7.6000000000000068</v>
      </c>
      <c r="O38" s="7">
        <f t="shared" si="24"/>
        <v>21.714285714285737</v>
      </c>
      <c r="Q38" s="6">
        <v>18</v>
      </c>
      <c r="R38" s="36"/>
      <c r="S38" s="36"/>
      <c r="T38" s="34"/>
      <c r="U38" s="32"/>
      <c r="V38" s="148"/>
      <c r="W38" s="148"/>
      <c r="X38" s="98"/>
      <c r="Y38" s="7"/>
      <c r="AA38" s="6">
        <v>18</v>
      </c>
      <c r="AB38" s="36"/>
      <c r="AC38" s="36" t="s">
        <v>99</v>
      </c>
      <c r="AD38" s="34">
        <v>2</v>
      </c>
      <c r="AE38" s="32">
        <v>22</v>
      </c>
      <c r="AF38" s="148">
        <f>燃料消費量!$D$21</f>
        <v>0.35</v>
      </c>
      <c r="AG38" s="148"/>
      <c r="AH38" s="98">
        <f t="shared" si="34"/>
        <v>4.9600000000000186</v>
      </c>
      <c r="AI38" s="7">
        <f t="shared" si="35"/>
        <v>14.171428571428626</v>
      </c>
      <c r="AK38" s="6">
        <v>18</v>
      </c>
      <c r="AL38" s="36"/>
      <c r="AM38" s="36" t="s">
        <v>99</v>
      </c>
      <c r="AN38" s="34">
        <v>2</v>
      </c>
      <c r="AO38" s="32">
        <v>21</v>
      </c>
      <c r="AP38" s="148">
        <f>燃料消費量!$B$17</f>
        <v>0.35</v>
      </c>
      <c r="AQ38" s="148"/>
      <c r="AR38" s="98">
        <f t="shared" ref="AR38:AR41" si="36">IF(AP38="","",AR37-AP38)</f>
        <v>2.9300000000000228</v>
      </c>
      <c r="AS38" s="7">
        <f t="shared" si="4"/>
        <v>8.3714285714286376</v>
      </c>
      <c r="AT38" s="3"/>
      <c r="AU38" s="6">
        <v>18</v>
      </c>
      <c r="AV38" s="36"/>
      <c r="AW38" s="36"/>
      <c r="AX38" s="34"/>
      <c r="AY38" s="32"/>
      <c r="AZ38" s="148"/>
      <c r="BA38" s="148"/>
      <c r="BB38" s="98"/>
      <c r="BC38" s="7"/>
      <c r="BE38" s="6">
        <v>18</v>
      </c>
      <c r="BF38" s="36" t="s">
        <v>103</v>
      </c>
      <c r="BG38" s="36" t="s">
        <v>6</v>
      </c>
      <c r="BH38" s="34">
        <v>6</v>
      </c>
      <c r="BI38" s="32">
        <v>22</v>
      </c>
      <c r="BJ38" s="148">
        <f>燃料消費量!$D$21</f>
        <v>0.35</v>
      </c>
      <c r="BK38" s="148"/>
      <c r="BL38" s="98">
        <f t="shared" si="30"/>
        <v>1.3400000000000265</v>
      </c>
      <c r="BM38" s="7">
        <f t="shared" si="31"/>
        <v>3.8285714285715047</v>
      </c>
      <c r="BO38" s="6">
        <v>18</v>
      </c>
      <c r="BP38" s="36"/>
      <c r="BQ38" s="36"/>
      <c r="BR38" s="34"/>
      <c r="BS38" s="32"/>
      <c r="BT38" s="148" t="str">
        <f t="shared" ref="BT35:BT41" si="37">IF(BP38="IN",BR$12,IF(BP38="OUT",BR$10,IF(BQ38="D",BQ$10,IF(BQ38="W",BQ$11,IF(BQ38="SC",BQ$12,IF(BQ38="EX1",BQ$13,IF(BQ38="EX2",BQ$14,"")))))))</f>
        <v/>
      </c>
      <c r="BU38" s="148"/>
      <c r="BV38" s="98" t="str">
        <f t="shared" si="12"/>
        <v/>
      </c>
      <c r="BW38" s="7"/>
      <c r="BY38" s="6">
        <v>18</v>
      </c>
      <c r="BZ38" s="36"/>
      <c r="CA38" s="36"/>
      <c r="CB38" s="34"/>
      <c r="CC38" s="32"/>
      <c r="CD38" s="148"/>
      <c r="CE38" s="148"/>
      <c r="CF38" s="98" t="str">
        <f t="shared" si="13"/>
        <v/>
      </c>
      <c r="CG38" s="7"/>
      <c r="CI38" s="6">
        <v>18</v>
      </c>
      <c r="CJ38" s="36"/>
      <c r="CK38" s="36" t="s">
        <v>6</v>
      </c>
      <c r="CL38" s="34">
        <v>2</v>
      </c>
      <c r="CM38" s="32">
        <v>22</v>
      </c>
      <c r="CN38" s="148">
        <f>燃料消費量!$B$33</f>
        <v>0.35</v>
      </c>
      <c r="CO38" s="148"/>
      <c r="CP38" s="98" t="e">
        <f t="shared" si="28"/>
        <v>#VALUE!</v>
      </c>
      <c r="CQ38" s="7" t="e">
        <f t="shared" si="29"/>
        <v>#VALUE!</v>
      </c>
      <c r="CS38" s="6">
        <v>18</v>
      </c>
      <c r="CT38" s="36"/>
      <c r="CU38" s="36"/>
      <c r="CV38" s="34"/>
      <c r="CW38" s="32"/>
      <c r="CX38" s="148" t="str">
        <f t="shared" si="15"/>
        <v/>
      </c>
      <c r="CY38" s="148"/>
      <c r="CZ38" s="98" t="str">
        <f t="shared" si="16"/>
        <v/>
      </c>
      <c r="DA38" s="7" t="str">
        <f t="shared" si="17"/>
        <v/>
      </c>
      <c r="DC38" s="6">
        <v>18</v>
      </c>
      <c r="DD38" s="36"/>
      <c r="DE38" s="36"/>
      <c r="DF38" s="34"/>
      <c r="DG38" s="32"/>
      <c r="DH38" s="148" t="str">
        <f t="shared" si="18"/>
        <v/>
      </c>
      <c r="DI38" s="148"/>
      <c r="DJ38" s="98" t="str">
        <f t="shared" si="19"/>
        <v/>
      </c>
      <c r="DK38" s="7" t="str">
        <f t="shared" si="20"/>
        <v/>
      </c>
      <c r="DM38" s="6">
        <v>18</v>
      </c>
      <c r="DN38" s="36"/>
      <c r="DO38" s="36"/>
      <c r="DP38" s="34"/>
      <c r="DQ38" s="32"/>
      <c r="DR38" s="148" t="str">
        <f t="shared" si="21"/>
        <v/>
      </c>
      <c r="DS38" s="148"/>
      <c r="DT38" s="98" t="str">
        <f t="shared" si="22"/>
        <v/>
      </c>
      <c r="DU38" s="7" t="str">
        <f t="shared" si="23"/>
        <v/>
      </c>
    </row>
    <row r="39" spans="7:125" x14ac:dyDescent="0.2">
      <c r="G39" s="6">
        <v>19</v>
      </c>
      <c r="H39" s="36"/>
      <c r="I39" s="36" t="s">
        <v>6</v>
      </c>
      <c r="J39" s="34">
        <v>2</v>
      </c>
      <c r="K39" s="32">
        <v>21</v>
      </c>
      <c r="L39" s="148">
        <f>燃料消費量!$B$17</f>
        <v>0.35</v>
      </c>
      <c r="M39" s="148"/>
      <c r="N39" s="98">
        <f t="shared" ref="N39:N40" si="38">IF(L39="","",N38-L39)</f>
        <v>7.2500000000000071</v>
      </c>
      <c r="O39" s="7">
        <f t="shared" ref="O39:O40" si="39">N39/L39</f>
        <v>20.714285714285737</v>
      </c>
      <c r="Q39" s="6">
        <v>19</v>
      </c>
      <c r="R39" s="36"/>
      <c r="S39" s="36"/>
      <c r="T39" s="34"/>
      <c r="U39" s="32"/>
      <c r="V39" s="148"/>
      <c r="W39" s="148"/>
      <c r="X39" s="98"/>
      <c r="Y39" s="7"/>
      <c r="AA39" s="6">
        <v>19</v>
      </c>
      <c r="AB39" s="36"/>
      <c r="AC39" s="36" t="s">
        <v>99</v>
      </c>
      <c r="AD39" s="34">
        <v>2</v>
      </c>
      <c r="AE39" s="32">
        <v>22</v>
      </c>
      <c r="AF39" s="148">
        <f>燃料消費量!$D$21</f>
        <v>0.35</v>
      </c>
      <c r="AG39" s="148"/>
      <c r="AH39" s="98">
        <f t="shared" si="34"/>
        <v>4.610000000000019</v>
      </c>
      <c r="AI39" s="7">
        <f t="shared" si="35"/>
        <v>13.171428571428626</v>
      </c>
      <c r="AK39" s="6">
        <v>19</v>
      </c>
      <c r="AL39" s="36"/>
      <c r="AM39" s="36" t="s">
        <v>99</v>
      </c>
      <c r="AN39" s="34">
        <v>2</v>
      </c>
      <c r="AO39" s="32">
        <v>21</v>
      </c>
      <c r="AP39" s="148">
        <f>燃料消費量!$B$17</f>
        <v>0.35</v>
      </c>
      <c r="AQ39" s="148"/>
      <c r="AR39" s="98">
        <f t="shared" si="36"/>
        <v>2.5800000000000227</v>
      </c>
      <c r="AS39" s="7">
        <f t="shared" si="4"/>
        <v>7.3714285714286367</v>
      </c>
      <c r="AT39" s="3"/>
      <c r="AU39" s="6">
        <v>19</v>
      </c>
      <c r="AV39" s="36"/>
      <c r="AW39" s="36"/>
      <c r="AX39" s="34"/>
      <c r="AY39" s="32"/>
      <c r="AZ39" s="148"/>
      <c r="BA39" s="148"/>
      <c r="BB39" s="98"/>
      <c r="BC39" s="7"/>
      <c r="BE39" s="6">
        <v>19</v>
      </c>
      <c r="BF39" s="36"/>
      <c r="BG39" s="36"/>
      <c r="BH39" s="34"/>
      <c r="BI39" s="32"/>
      <c r="BJ39" s="148" t="str">
        <f t="shared" ref="BJ38:BJ45" si="40">IF(BF39="IN",BH$12,IF(BF39="OUT",BH$10,IF(BG39="D",BG$10,IF(BG39="W",BG$11,IF(BG39="SC",BG$12,IF(BG39="EX1",BG$13,IF(BG39="EX2",BG$14,"")))))))</f>
        <v/>
      </c>
      <c r="BK39" s="148"/>
      <c r="BL39" s="98" t="str">
        <f t="shared" si="11"/>
        <v/>
      </c>
      <c r="BM39" s="7" t="str">
        <f t="shared" ref="BM39:BM43" si="41">IF(BG39="D",BL39/$BG$10,IF(BG39="W",BL39/$BG$11,IF(BG39="SC",BL39/$BG$12,IF(BG39="EX1",BL39/$BG$13,IF(BG39="EX2",BL39/$BG$14,"")))))</f>
        <v/>
      </c>
      <c r="BO39" s="6">
        <v>19</v>
      </c>
      <c r="BP39" s="36"/>
      <c r="BQ39" s="36"/>
      <c r="BR39" s="34"/>
      <c r="BS39" s="32"/>
      <c r="BT39" s="148" t="str">
        <f t="shared" si="37"/>
        <v/>
      </c>
      <c r="BU39" s="148"/>
      <c r="BV39" s="98" t="str">
        <f t="shared" si="12"/>
        <v/>
      </c>
      <c r="BW39" s="7"/>
      <c r="BY39" s="6">
        <v>19</v>
      </c>
      <c r="BZ39" s="36"/>
      <c r="CA39" s="36"/>
      <c r="CB39" s="34"/>
      <c r="CC39" s="32"/>
      <c r="CD39" s="148"/>
      <c r="CE39" s="148"/>
      <c r="CF39" s="98" t="str">
        <f t="shared" si="13"/>
        <v/>
      </c>
      <c r="CG39" s="7"/>
      <c r="CI39" s="6">
        <v>19</v>
      </c>
      <c r="CJ39" s="36"/>
      <c r="CK39" s="36" t="s">
        <v>6</v>
      </c>
      <c r="CL39" s="34">
        <v>2</v>
      </c>
      <c r="CM39" s="32">
        <v>22</v>
      </c>
      <c r="CN39" s="148">
        <f>燃料消費量!$B$33</f>
        <v>0.35</v>
      </c>
      <c r="CO39" s="148"/>
      <c r="CP39" s="98" t="e">
        <f t="shared" si="28"/>
        <v>#VALUE!</v>
      </c>
      <c r="CQ39" s="7" t="e">
        <f t="shared" si="29"/>
        <v>#VALUE!</v>
      </c>
      <c r="CS39" s="6">
        <v>19</v>
      </c>
      <c r="CT39" s="36"/>
      <c r="CU39" s="36"/>
      <c r="CV39" s="34"/>
      <c r="CW39" s="32"/>
      <c r="CX39" s="148" t="str">
        <f t="shared" si="15"/>
        <v/>
      </c>
      <c r="CY39" s="148"/>
      <c r="CZ39" s="98" t="str">
        <f t="shared" si="16"/>
        <v/>
      </c>
      <c r="DA39" s="7" t="str">
        <f t="shared" si="17"/>
        <v/>
      </c>
      <c r="DC39" s="6">
        <v>19</v>
      </c>
      <c r="DD39" s="36"/>
      <c r="DE39" s="36"/>
      <c r="DF39" s="34"/>
      <c r="DG39" s="32"/>
      <c r="DH39" s="148" t="str">
        <f t="shared" si="18"/>
        <v/>
      </c>
      <c r="DI39" s="148"/>
      <c r="DJ39" s="98" t="str">
        <f t="shared" si="19"/>
        <v/>
      </c>
      <c r="DK39" s="7" t="str">
        <f t="shared" si="20"/>
        <v/>
      </c>
      <c r="DM39" s="6">
        <v>19</v>
      </c>
      <c r="DN39" s="36"/>
      <c r="DO39" s="36"/>
      <c r="DP39" s="34"/>
      <c r="DQ39" s="32"/>
      <c r="DR39" s="148" t="str">
        <f t="shared" si="21"/>
        <v/>
      </c>
      <c r="DS39" s="148"/>
      <c r="DT39" s="98" t="str">
        <f t="shared" si="22"/>
        <v/>
      </c>
      <c r="DU39" s="7" t="str">
        <f t="shared" si="23"/>
        <v/>
      </c>
    </row>
    <row r="40" spans="7:125" x14ac:dyDescent="0.2">
      <c r="G40" s="6">
        <v>20</v>
      </c>
      <c r="H40" s="36"/>
      <c r="I40" s="36" t="s">
        <v>6</v>
      </c>
      <c r="J40" s="34">
        <v>2</v>
      </c>
      <c r="K40" s="32">
        <v>21</v>
      </c>
      <c r="L40" s="148">
        <f>燃料消費量!$B$17</f>
        <v>0.35</v>
      </c>
      <c r="M40" s="148"/>
      <c r="N40" s="98">
        <f t="shared" si="38"/>
        <v>6.9000000000000075</v>
      </c>
      <c r="O40" s="7">
        <f t="shared" si="39"/>
        <v>19.714285714285737</v>
      </c>
      <c r="Q40" s="6">
        <v>20</v>
      </c>
      <c r="R40" s="36"/>
      <c r="S40" s="36"/>
      <c r="T40" s="34"/>
      <c r="U40" s="32"/>
      <c r="V40" s="148"/>
      <c r="W40" s="148"/>
      <c r="X40" s="98"/>
      <c r="Y40" s="7"/>
      <c r="AA40" s="6">
        <v>20</v>
      </c>
      <c r="AB40" s="36"/>
      <c r="AC40" s="36" t="s">
        <v>99</v>
      </c>
      <c r="AD40" s="34">
        <v>2</v>
      </c>
      <c r="AE40" s="32">
        <v>22</v>
      </c>
      <c r="AF40" s="148">
        <f>燃料消費量!$D$21</f>
        <v>0.35</v>
      </c>
      <c r="AG40" s="148"/>
      <c r="AH40" s="98">
        <f t="shared" si="34"/>
        <v>4.2600000000000193</v>
      </c>
      <c r="AI40" s="7">
        <f t="shared" si="35"/>
        <v>12.171428571428628</v>
      </c>
      <c r="AK40" s="6">
        <v>20</v>
      </c>
      <c r="AL40" s="36"/>
      <c r="AM40" s="36" t="s">
        <v>99</v>
      </c>
      <c r="AN40" s="34">
        <v>2</v>
      </c>
      <c r="AO40" s="32">
        <v>21</v>
      </c>
      <c r="AP40" s="148">
        <f>燃料消費量!$B$17</f>
        <v>0.35</v>
      </c>
      <c r="AQ40" s="148"/>
      <c r="AR40" s="98">
        <f t="shared" si="36"/>
        <v>2.2300000000000226</v>
      </c>
      <c r="AS40" s="7">
        <f t="shared" si="4"/>
        <v>6.3714285714286367</v>
      </c>
      <c r="AT40" s="3"/>
      <c r="AU40" s="6">
        <v>20</v>
      </c>
      <c r="AV40" s="36"/>
      <c r="AW40" s="36"/>
      <c r="AX40" s="34"/>
      <c r="AY40" s="32"/>
      <c r="AZ40" s="148"/>
      <c r="BA40" s="148"/>
      <c r="BB40" s="98"/>
      <c r="BC40" s="7"/>
      <c r="BE40" s="6">
        <v>20</v>
      </c>
      <c r="BF40" s="36"/>
      <c r="BG40" s="36"/>
      <c r="BH40" s="34"/>
      <c r="BI40" s="32"/>
      <c r="BJ40" s="148" t="str">
        <f t="shared" si="40"/>
        <v/>
      </c>
      <c r="BK40" s="148"/>
      <c r="BL40" s="98" t="str">
        <f t="shared" si="11"/>
        <v/>
      </c>
      <c r="BM40" s="7" t="str">
        <f t="shared" si="41"/>
        <v/>
      </c>
      <c r="BO40" s="6">
        <v>20</v>
      </c>
      <c r="BP40" s="36"/>
      <c r="BQ40" s="36"/>
      <c r="BR40" s="34"/>
      <c r="BS40" s="32"/>
      <c r="BT40" s="148" t="str">
        <f t="shared" si="37"/>
        <v/>
      </c>
      <c r="BU40" s="148"/>
      <c r="BV40" s="98" t="str">
        <f t="shared" si="12"/>
        <v/>
      </c>
      <c r="BW40" s="7"/>
      <c r="BY40" s="6">
        <v>20</v>
      </c>
      <c r="BZ40" s="36"/>
      <c r="CA40" s="36"/>
      <c r="CB40" s="34"/>
      <c r="CC40" s="32"/>
      <c r="CD40" s="148"/>
      <c r="CE40" s="148"/>
      <c r="CF40" s="98" t="str">
        <f t="shared" si="13"/>
        <v/>
      </c>
      <c r="CG40" s="7"/>
      <c r="CI40" s="6">
        <v>20</v>
      </c>
      <c r="CJ40" s="36"/>
      <c r="CK40" s="36" t="s">
        <v>6</v>
      </c>
      <c r="CL40" s="34">
        <v>2</v>
      </c>
      <c r="CM40" s="32">
        <v>22</v>
      </c>
      <c r="CN40" s="148">
        <f>燃料消費量!$B$33</f>
        <v>0.35</v>
      </c>
      <c r="CO40" s="148"/>
      <c r="CP40" s="98" t="e">
        <f t="shared" si="28"/>
        <v>#VALUE!</v>
      </c>
      <c r="CQ40" s="7" t="e">
        <f t="shared" si="29"/>
        <v>#VALUE!</v>
      </c>
      <c r="CS40" s="6">
        <v>20</v>
      </c>
      <c r="CT40" s="36"/>
      <c r="CU40" s="36"/>
      <c r="CV40" s="34"/>
      <c r="CW40" s="32"/>
      <c r="CX40" s="148" t="str">
        <f t="shared" si="15"/>
        <v/>
      </c>
      <c r="CY40" s="148"/>
      <c r="CZ40" s="98" t="str">
        <f t="shared" si="16"/>
        <v/>
      </c>
      <c r="DA40" s="7" t="str">
        <f t="shared" si="17"/>
        <v/>
      </c>
      <c r="DC40" s="6">
        <v>20</v>
      </c>
      <c r="DD40" s="36"/>
      <c r="DE40" s="36"/>
      <c r="DF40" s="34"/>
      <c r="DG40" s="32"/>
      <c r="DH40" s="148" t="str">
        <f t="shared" si="18"/>
        <v/>
      </c>
      <c r="DI40" s="148"/>
      <c r="DJ40" s="98" t="str">
        <f t="shared" si="19"/>
        <v/>
      </c>
      <c r="DK40" s="7" t="str">
        <f t="shared" si="20"/>
        <v/>
      </c>
      <c r="DM40" s="6">
        <v>20</v>
      </c>
      <c r="DN40" s="36"/>
      <c r="DO40" s="36"/>
      <c r="DP40" s="34"/>
      <c r="DQ40" s="32"/>
      <c r="DR40" s="148" t="str">
        <f t="shared" si="21"/>
        <v/>
      </c>
      <c r="DS40" s="148"/>
      <c r="DT40" s="98" t="str">
        <f t="shared" si="22"/>
        <v/>
      </c>
      <c r="DU40" s="7" t="str">
        <f t="shared" si="23"/>
        <v/>
      </c>
    </row>
    <row r="41" spans="7:125" x14ac:dyDescent="0.2">
      <c r="G41" s="6">
        <v>21</v>
      </c>
      <c r="H41" s="36"/>
      <c r="I41" s="36" t="s">
        <v>6</v>
      </c>
      <c r="J41" s="34">
        <v>2</v>
      </c>
      <c r="K41" s="32">
        <v>21</v>
      </c>
      <c r="L41" s="148">
        <f>燃料消費量!$B$17</f>
        <v>0.35</v>
      </c>
      <c r="M41" s="148"/>
      <c r="N41" s="98">
        <f t="shared" ref="N41:N42" si="42">IF(L41="","",N40-L41)</f>
        <v>6.5500000000000078</v>
      </c>
      <c r="O41" s="7">
        <f t="shared" ref="O41:O43" si="43">N41/L41</f>
        <v>18.714285714285737</v>
      </c>
      <c r="Q41" s="6">
        <v>21</v>
      </c>
      <c r="R41" s="36"/>
      <c r="S41" s="36"/>
      <c r="T41" s="34"/>
      <c r="U41" s="32"/>
      <c r="V41" s="148"/>
      <c r="W41" s="148"/>
      <c r="X41" s="98"/>
      <c r="Y41" s="7"/>
      <c r="AA41" s="6">
        <v>21</v>
      </c>
      <c r="AB41" s="36" t="s">
        <v>103</v>
      </c>
      <c r="AC41" s="36" t="s">
        <v>99</v>
      </c>
      <c r="AD41" s="34">
        <v>2</v>
      </c>
      <c r="AE41" s="32">
        <v>21</v>
      </c>
      <c r="AF41" s="148">
        <f>燃料消費量!$D$21</f>
        <v>0.35</v>
      </c>
      <c r="AG41" s="148"/>
      <c r="AH41" s="98">
        <f t="shared" si="34"/>
        <v>3.9100000000000192</v>
      </c>
      <c r="AI41" s="7">
        <f t="shared" si="35"/>
        <v>11.171428571428628</v>
      </c>
      <c r="AK41" s="6">
        <v>21</v>
      </c>
      <c r="AL41" s="36"/>
      <c r="AM41" s="36" t="s">
        <v>99</v>
      </c>
      <c r="AN41" s="34">
        <v>2</v>
      </c>
      <c r="AO41" s="32">
        <v>21</v>
      </c>
      <c r="AP41" s="148">
        <f>燃料消費量!$B$17</f>
        <v>0.35</v>
      </c>
      <c r="AQ41" s="148"/>
      <c r="AR41" s="98">
        <f t="shared" si="36"/>
        <v>1.8800000000000225</v>
      </c>
      <c r="AS41" s="7">
        <f t="shared" si="4"/>
        <v>5.3714285714286358</v>
      </c>
      <c r="AT41" s="3"/>
      <c r="AU41" s="6">
        <v>21</v>
      </c>
      <c r="AV41" s="36"/>
      <c r="AW41" s="36"/>
      <c r="AX41" s="34"/>
      <c r="AY41" s="32"/>
      <c r="AZ41" s="148" t="str">
        <f>IF(AV41="IN",AX$12,IF(AV41="OUT",AX$10,IF(AW41="D",AW$10,IF(AW41="W",AW$11,IF(AW41="SC",AW$12,IF(AW41="EX1",AW$13,IF(AW41="EX2",AW$14,"")))))))</f>
        <v/>
      </c>
      <c r="BA41" s="148"/>
      <c r="BB41" s="98" t="str">
        <f t="shared" si="10"/>
        <v/>
      </c>
      <c r="BC41" s="7" t="str">
        <f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48" t="str">
        <f t="shared" si="40"/>
        <v/>
      </c>
      <c r="BK41" s="148"/>
      <c r="BL41" s="98" t="str">
        <f t="shared" si="11"/>
        <v/>
      </c>
      <c r="BM41" s="7" t="str">
        <f t="shared" si="41"/>
        <v/>
      </c>
      <c r="BO41" s="6">
        <v>21</v>
      </c>
      <c r="BP41" s="36"/>
      <c r="BQ41" s="36"/>
      <c r="BR41" s="34"/>
      <c r="BS41" s="32"/>
      <c r="BT41" s="148" t="str">
        <f t="shared" si="37"/>
        <v/>
      </c>
      <c r="BU41" s="148"/>
      <c r="BV41" s="98" t="str">
        <f t="shared" si="12"/>
        <v/>
      </c>
      <c r="BW41" s="7"/>
      <c r="BY41" s="6">
        <v>21</v>
      </c>
      <c r="BZ41" s="36"/>
      <c r="CA41" s="36"/>
      <c r="CB41" s="34"/>
      <c r="CC41" s="32"/>
      <c r="CD41" s="148"/>
      <c r="CE41" s="148"/>
      <c r="CF41" s="98" t="str">
        <f t="shared" si="13"/>
        <v/>
      </c>
      <c r="CG41" s="7"/>
      <c r="CI41" s="6">
        <v>21</v>
      </c>
      <c r="CJ41" s="36"/>
      <c r="CK41" s="36"/>
      <c r="CL41" s="34"/>
      <c r="CM41" s="32"/>
      <c r="CN41" s="148"/>
      <c r="CO41" s="148"/>
      <c r="CP41" s="98" t="str">
        <f t="shared" ref="CP22:CP60" si="44">IF(CN41="","",CP40-CN41)</f>
        <v/>
      </c>
      <c r="CQ41" s="7"/>
      <c r="CS41" s="6">
        <v>21</v>
      </c>
      <c r="CT41" s="36"/>
      <c r="CU41" s="36"/>
      <c r="CV41" s="34"/>
      <c r="CW41" s="32"/>
      <c r="CX41" s="148" t="str">
        <f t="shared" si="15"/>
        <v/>
      </c>
      <c r="CY41" s="148"/>
      <c r="CZ41" s="98" t="str">
        <f t="shared" si="16"/>
        <v/>
      </c>
      <c r="DA41" s="7" t="str">
        <f t="shared" si="17"/>
        <v/>
      </c>
      <c r="DC41" s="6">
        <v>21</v>
      </c>
      <c r="DD41" s="36"/>
      <c r="DE41" s="36"/>
      <c r="DF41" s="34"/>
      <c r="DG41" s="32"/>
      <c r="DH41" s="148" t="str">
        <f t="shared" si="18"/>
        <v/>
      </c>
      <c r="DI41" s="148"/>
      <c r="DJ41" s="98" t="str">
        <f t="shared" si="19"/>
        <v/>
      </c>
      <c r="DK41" s="7" t="str">
        <f t="shared" si="20"/>
        <v/>
      </c>
      <c r="DM41" s="6">
        <v>21</v>
      </c>
      <c r="DN41" s="36"/>
      <c r="DO41" s="36"/>
      <c r="DP41" s="34"/>
      <c r="DQ41" s="32"/>
      <c r="DR41" s="148" t="str">
        <f t="shared" si="21"/>
        <v/>
      </c>
      <c r="DS41" s="148"/>
      <c r="DT41" s="98" t="str">
        <f t="shared" si="22"/>
        <v/>
      </c>
      <c r="DU41" s="7" t="str">
        <f t="shared" si="23"/>
        <v/>
      </c>
    </row>
    <row r="42" spans="7:125" x14ac:dyDescent="0.2">
      <c r="G42" s="6">
        <v>22</v>
      </c>
      <c r="H42" s="36"/>
      <c r="I42" s="36" t="s">
        <v>6</v>
      </c>
      <c r="J42" s="34">
        <v>2</v>
      </c>
      <c r="K42" s="32">
        <v>21</v>
      </c>
      <c r="L42" s="148">
        <f>燃料消費量!$B$17</f>
        <v>0.35</v>
      </c>
      <c r="M42" s="148"/>
      <c r="N42" s="98">
        <f t="shared" si="42"/>
        <v>6.2000000000000082</v>
      </c>
      <c r="O42" s="7">
        <f t="shared" si="43"/>
        <v>17.71428571428574</v>
      </c>
      <c r="Q42" s="6">
        <v>22</v>
      </c>
      <c r="R42" s="36"/>
      <c r="S42" s="36"/>
      <c r="T42" s="34"/>
      <c r="U42" s="32"/>
      <c r="V42" s="148" t="str">
        <f t="shared" ref="V42:V60" si="45">IF(R42="IN",T$12,IF(R42="OUT",T$10,IF(S42="D",S$10,IF(S42="W",S$11,IF(S42="SC",S$12,IF(S42="EX1",S$13,IF(S42="EX2",S$14,"")))))))</f>
        <v/>
      </c>
      <c r="W42" s="148"/>
      <c r="X42" s="98" t="str">
        <f t="shared" si="1"/>
        <v/>
      </c>
      <c r="Y42" s="7" t="str">
        <f t="shared" ref="Y42:Y60" si="46">IF(S42="D",X42/$S$10,IF(S42="W",X42/$S$11,IF(S42="SC",X42/$S$12,IF(S42="EX1",X42/$S$13,IF(S42="EX2",X42/$S$14,"")))))</f>
        <v/>
      </c>
      <c r="AA42" s="6">
        <v>22</v>
      </c>
      <c r="AB42" s="36"/>
      <c r="AC42" s="36"/>
      <c r="AD42" s="34"/>
      <c r="AE42" s="32"/>
      <c r="AF42" s="148"/>
      <c r="AG42" s="148"/>
      <c r="AH42" s="98"/>
      <c r="AI42" s="7"/>
      <c r="AK42" s="6">
        <v>22</v>
      </c>
      <c r="AL42" s="36" t="s">
        <v>103</v>
      </c>
      <c r="AM42" s="36" t="s">
        <v>99</v>
      </c>
      <c r="AN42" s="34">
        <v>6</v>
      </c>
      <c r="AO42" s="32">
        <v>21</v>
      </c>
      <c r="AP42" s="148">
        <f t="shared" ref="AP42:AP60" si="47">IF(AL42="IN",AN$12,IF(AL42="OUT",AN$10,IF(AM42="D",AM$10,IF(AM42="W",AM$11,IF(AM42="SC",AM$12,IF(AM42="EX1",AM$13,IF(AM42="EX2",AM$14,"")))))))</f>
        <v>0.33</v>
      </c>
      <c r="AQ42" s="148"/>
      <c r="AR42" s="98">
        <f t="shared" si="9"/>
        <v>1.5500000000000225</v>
      </c>
      <c r="AS42" s="7">
        <f t="shared" si="4"/>
        <v>4.6969696969697647</v>
      </c>
      <c r="AT42" s="3"/>
      <c r="AU42" s="6">
        <v>22</v>
      </c>
      <c r="AV42" s="36"/>
      <c r="AW42" s="36"/>
      <c r="AX42" s="34"/>
      <c r="AY42" s="32"/>
      <c r="AZ42" s="148" t="str">
        <f>IF(AV42="IN",AX$12,IF(AV42="OUT",AX$10,IF(AW42="D",AW$10,IF(AW42="W",AW$11,IF(AW42="SC",AW$12,IF(AW42="EX1",AW$13,IF(AW42="EX2",AW$14,"")))))))</f>
        <v/>
      </c>
      <c r="BA42" s="148"/>
      <c r="BB42" s="98" t="str">
        <f t="shared" si="10"/>
        <v/>
      </c>
      <c r="BC42" s="7" t="str">
        <f>IF(AW42="D",BB42/$AW$10,IF(AW42="W",BB42/$AW$11,IF(AW42="SC",BB42/$AW$12,IF(AW42="EX1",BB42/$AW$13,IF(AW42="EX2",BB42/$AW$14,"")))))</f>
        <v/>
      </c>
      <c r="BE42" s="6">
        <v>22</v>
      </c>
      <c r="BF42" s="36"/>
      <c r="BG42" s="36"/>
      <c r="BH42" s="34"/>
      <c r="BI42" s="32"/>
      <c r="BJ42" s="148" t="str">
        <f t="shared" si="40"/>
        <v/>
      </c>
      <c r="BK42" s="148"/>
      <c r="BL42" s="98" t="str">
        <f t="shared" si="11"/>
        <v/>
      </c>
      <c r="BM42" s="7" t="str">
        <f t="shared" si="41"/>
        <v/>
      </c>
      <c r="BO42" s="6">
        <v>22</v>
      </c>
      <c r="BP42" s="36"/>
      <c r="BQ42" s="36"/>
      <c r="BR42" s="34"/>
      <c r="BS42" s="32"/>
      <c r="BT42" s="148" t="str">
        <f t="shared" ref="BT42:BT60" si="48">IF(BP42="IN",BR$12,IF(BP42="OUT",BR$10,IF(BQ42="D",BQ$10,IF(BQ42="W",BQ$11,IF(BQ42="SC",BQ$12,IF(BQ42="EX1",BQ$13,IF(BQ42="EX2",BQ$14,"")))))))</f>
        <v/>
      </c>
      <c r="BU42" s="148"/>
      <c r="BV42" s="98" t="str">
        <f t="shared" si="12"/>
        <v/>
      </c>
      <c r="BW42" s="7" t="str">
        <f t="shared" ref="BW42:BW60" si="49">IF(BQ42="D",BV42/$BQ$10,IF(BQ42="W",BV42/$BQ$11,IF(BQ42="SC",BV42/$BQ$12,IF(BQ42="EX1",BV42/$BQ$13,IF(BQ42="EX2",BV42/$BQ$14,"")))))</f>
        <v/>
      </c>
      <c r="BY42" s="6">
        <v>22</v>
      </c>
      <c r="BZ42" s="36"/>
      <c r="CA42" s="36"/>
      <c r="CB42" s="34"/>
      <c r="CC42" s="32"/>
      <c r="CD42" s="148" t="str">
        <f t="shared" ref="CD42:CD60" si="50">IF(BZ42="IN",CB$12,IF(BZ42="OUT",CB$10,IF(CA42="D",CA$10,IF(CA42="W",CA$11,IF(CA42="SC",CA$12,IF(CA42="EX1",CA$13,IF(CA42="EX2",CA$14,"")))))))</f>
        <v/>
      </c>
      <c r="CE42" s="148"/>
      <c r="CF42" s="98" t="str">
        <f t="shared" si="13"/>
        <v/>
      </c>
      <c r="CG42" s="7" t="str">
        <f t="shared" ref="CG42:CG60" si="51">IF(CA42="D",CF42/$CA$10,IF(CA42="W",CF42/$CA$11,IF(CA42="SC",CF42/$CA$12,IF(CA42="EX1",CF42/$CA$13,IF(CA42="EX2",CF42/$CA$14,"")))))</f>
        <v/>
      </c>
      <c r="CI42" s="6">
        <v>22</v>
      </c>
      <c r="CJ42" s="36"/>
      <c r="CK42" s="36"/>
      <c r="CL42" s="34"/>
      <c r="CM42" s="32"/>
      <c r="CN42" s="148"/>
      <c r="CO42" s="148"/>
      <c r="CP42" s="98" t="str">
        <f t="shared" si="44"/>
        <v/>
      </c>
      <c r="CQ42" s="7"/>
      <c r="CS42" s="6">
        <v>22</v>
      </c>
      <c r="CT42" s="36"/>
      <c r="CU42" s="36"/>
      <c r="CV42" s="34"/>
      <c r="CW42" s="32"/>
      <c r="CX42" s="148" t="str">
        <f t="shared" si="15"/>
        <v/>
      </c>
      <c r="CY42" s="148"/>
      <c r="CZ42" s="98" t="str">
        <f t="shared" si="16"/>
        <v/>
      </c>
      <c r="DA42" s="7" t="str">
        <f t="shared" si="17"/>
        <v/>
      </c>
      <c r="DC42" s="6">
        <v>22</v>
      </c>
      <c r="DD42" s="36"/>
      <c r="DE42" s="36"/>
      <c r="DF42" s="34"/>
      <c r="DG42" s="32"/>
      <c r="DH42" s="148" t="str">
        <f t="shared" si="18"/>
        <v/>
      </c>
      <c r="DI42" s="148"/>
      <c r="DJ42" s="98" t="str">
        <f t="shared" si="19"/>
        <v/>
      </c>
      <c r="DK42" s="7" t="str">
        <f t="shared" si="20"/>
        <v/>
      </c>
      <c r="DM42" s="6">
        <v>22</v>
      </c>
      <c r="DN42" s="36"/>
      <c r="DO42" s="36"/>
      <c r="DP42" s="34"/>
      <c r="DQ42" s="32"/>
      <c r="DR42" s="148" t="str">
        <f t="shared" si="21"/>
        <v/>
      </c>
      <c r="DS42" s="148"/>
      <c r="DT42" s="98" t="str">
        <f t="shared" si="22"/>
        <v/>
      </c>
      <c r="DU42" s="7" t="str">
        <f t="shared" si="23"/>
        <v/>
      </c>
    </row>
    <row r="43" spans="7:125" ht="13.25" customHeight="1" x14ac:dyDescent="0.2">
      <c r="G43" s="6">
        <v>23</v>
      </c>
      <c r="H43" s="36" t="s">
        <v>103</v>
      </c>
      <c r="I43" s="36" t="s">
        <v>6</v>
      </c>
      <c r="J43" s="34">
        <v>2</v>
      </c>
      <c r="K43" s="32">
        <v>22</v>
      </c>
      <c r="L43" s="148">
        <f t="shared" ref="L42:L60" si="52">IF(H43="IN",J$12,IF(H43="OUT",J$10,IF(I43="D",I$10,IF(I43="W",I$11,IF(I43="SC",I$12,IF(I43="EX1",I$13,IF(I43="EX2",I$14,"")))))))</f>
        <v>0.33</v>
      </c>
      <c r="M43" s="148"/>
      <c r="N43" s="98">
        <f t="shared" si="0"/>
        <v>5.8700000000000081</v>
      </c>
      <c r="O43" s="7">
        <f t="shared" si="43"/>
        <v>17.78787878787881</v>
      </c>
      <c r="Q43" s="6">
        <v>23</v>
      </c>
      <c r="R43" s="36"/>
      <c r="S43" s="36"/>
      <c r="T43" s="34"/>
      <c r="U43" s="32"/>
      <c r="V43" s="148" t="str">
        <f t="shared" si="45"/>
        <v/>
      </c>
      <c r="W43" s="148"/>
      <c r="X43" s="98" t="str">
        <f t="shared" si="1"/>
        <v/>
      </c>
      <c r="Y43" s="7" t="str">
        <f t="shared" si="46"/>
        <v/>
      </c>
      <c r="AA43" s="6">
        <v>23</v>
      </c>
      <c r="AB43" s="36"/>
      <c r="AC43" s="36"/>
      <c r="AD43" s="34"/>
      <c r="AE43" s="32"/>
      <c r="AF43" s="148"/>
      <c r="AG43" s="148"/>
      <c r="AH43" s="98" t="str">
        <f t="shared" si="8"/>
        <v/>
      </c>
      <c r="AI43" s="7" t="str">
        <f t="shared" ref="AI43:AI60" si="53">IF(AC43="D",AH43/$AC$10,IF(AC43="W",AH43/$AC$11,IF(AC43="SC",AH43/$AC$12,IF(AC43="EX1",AH43/$AC$13,IF(AC43="EX2",AH43/$AC$14,"")))))</f>
        <v/>
      </c>
      <c r="AK43" s="6">
        <v>23</v>
      </c>
      <c r="AL43" s="36"/>
      <c r="AM43" s="36"/>
      <c r="AN43" s="34"/>
      <c r="AO43" s="32"/>
      <c r="AP43" s="148" t="str">
        <f t="shared" si="47"/>
        <v/>
      </c>
      <c r="AQ43" s="148"/>
      <c r="AR43" s="98" t="str">
        <f t="shared" si="9"/>
        <v/>
      </c>
      <c r="AS43" s="7" t="str">
        <f t="shared" ref="AS43:AS60" si="54"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48" t="str">
        <f t="shared" ref="AZ43:AZ60" si="55">IF(AV43="IN",AX$12,IF(AV43="OUT",AX$10,IF(AW43="D",AW$10,IF(AW43="W",AW$11,IF(AW43="SC",AW$12,IF(AW43="EX1",AW$13,IF(AW43="EX2",AW$14,"")))))))</f>
        <v/>
      </c>
      <c r="BA43" s="148"/>
      <c r="BB43" s="98" t="str">
        <f t="shared" si="10"/>
        <v/>
      </c>
      <c r="BC43" s="7" t="str">
        <f t="shared" ref="BC43:BC60" si="56"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48" t="str">
        <f t="shared" si="40"/>
        <v/>
      </c>
      <c r="BK43" s="148"/>
      <c r="BL43" s="98" t="str">
        <f t="shared" si="11"/>
        <v/>
      </c>
      <c r="BM43" s="7" t="str">
        <f t="shared" si="41"/>
        <v/>
      </c>
      <c r="BO43" s="6">
        <v>23</v>
      </c>
      <c r="BP43" s="36"/>
      <c r="BQ43" s="36"/>
      <c r="BR43" s="34"/>
      <c r="BS43" s="32"/>
      <c r="BT43" s="148"/>
      <c r="BU43" s="148"/>
      <c r="BV43" s="98" t="str">
        <f t="shared" si="12"/>
        <v/>
      </c>
      <c r="BW43" s="7"/>
      <c r="BY43" s="6">
        <v>23</v>
      </c>
      <c r="BZ43" s="36"/>
      <c r="CA43" s="36"/>
      <c r="CB43" s="34"/>
      <c r="CC43" s="32"/>
      <c r="CD43" s="148" t="str">
        <f t="shared" si="50"/>
        <v/>
      </c>
      <c r="CE43" s="148"/>
      <c r="CF43" s="98" t="str">
        <f t="shared" si="13"/>
        <v/>
      </c>
      <c r="CG43" s="7" t="str">
        <f t="shared" si="51"/>
        <v/>
      </c>
      <c r="CI43" s="6">
        <v>23</v>
      </c>
      <c r="CJ43" s="36"/>
      <c r="CK43" s="36"/>
      <c r="CL43" s="34"/>
      <c r="CM43" s="32"/>
      <c r="CN43" s="148" t="str">
        <f t="shared" ref="CN43:CN60" si="57">IF(CJ43="IN",CL$12,IF(CJ43="OUT",CL$10,IF(CK43="D",CK$10,IF(CK43="W",CK$11,IF(CK43="SC",CK$12,IF(CK43="EX1",CK$13,IF(CK43="EX2",CK$14,"")))))))</f>
        <v/>
      </c>
      <c r="CO43" s="148"/>
      <c r="CP43" s="98" t="str">
        <f t="shared" si="44"/>
        <v/>
      </c>
      <c r="CQ43" s="7" t="str">
        <f t="shared" ref="CQ37:CQ60" si="58">IF(CK43="D",CP43/$CK$10,IF(CK43="W",CP43/$CK$11,IF(CK43="SC",CP43/$CK$12,IF(CK43="EX1",CP43/$CK$13,IF(CK43="EX2",CP43/$CK$14,"")))))</f>
        <v/>
      </c>
      <c r="CS43" s="6">
        <v>23</v>
      </c>
      <c r="CT43" s="36"/>
      <c r="CU43" s="36"/>
      <c r="CV43" s="34"/>
      <c r="CW43" s="32"/>
      <c r="CX43" s="148" t="str">
        <f t="shared" si="15"/>
        <v/>
      </c>
      <c r="CY43" s="148"/>
      <c r="CZ43" s="98" t="str">
        <f t="shared" si="16"/>
        <v/>
      </c>
      <c r="DA43" s="7" t="str">
        <f t="shared" si="17"/>
        <v/>
      </c>
      <c r="DC43" s="6">
        <v>23</v>
      </c>
      <c r="DD43" s="36"/>
      <c r="DE43" s="36"/>
      <c r="DF43" s="34"/>
      <c r="DG43" s="32"/>
      <c r="DH43" s="148" t="str">
        <f t="shared" si="18"/>
        <v/>
      </c>
      <c r="DI43" s="148"/>
      <c r="DJ43" s="98" t="str">
        <f t="shared" si="19"/>
        <v/>
      </c>
      <c r="DK43" s="7" t="str">
        <f t="shared" si="20"/>
        <v/>
      </c>
      <c r="DM43" s="6">
        <v>23</v>
      </c>
      <c r="DN43" s="36"/>
      <c r="DO43" s="36"/>
      <c r="DP43" s="34"/>
      <c r="DQ43" s="32"/>
      <c r="DR43" s="148" t="str">
        <f t="shared" si="21"/>
        <v/>
      </c>
      <c r="DS43" s="148"/>
      <c r="DT43" s="98" t="str">
        <f t="shared" si="22"/>
        <v/>
      </c>
      <c r="DU43" s="7" t="str">
        <f t="shared" si="23"/>
        <v/>
      </c>
    </row>
    <row r="44" spans="7:125" x14ac:dyDescent="0.2">
      <c r="G44" s="6">
        <v>24</v>
      </c>
      <c r="H44" s="36"/>
      <c r="I44" s="36"/>
      <c r="J44" s="34"/>
      <c r="K44" s="32"/>
      <c r="L44" s="148" t="str">
        <f t="shared" si="52"/>
        <v/>
      </c>
      <c r="M44" s="148"/>
      <c r="N44" s="98" t="str">
        <f t="shared" si="0"/>
        <v/>
      </c>
      <c r="O44" s="7" t="str">
        <f t="shared" ref="O42:O60" si="59">IF(I44="D",N44/$I$10,IF(I44="W",N44/$I$11,IF(I44="SC",N44/$I$12,IF(I44="EX1",N44/$I$13,IF(I44="EX2",N44/$I$14,"")))))</f>
        <v/>
      </c>
      <c r="Q44" s="6">
        <v>24</v>
      </c>
      <c r="R44" s="36"/>
      <c r="S44" s="36"/>
      <c r="T44" s="34"/>
      <c r="U44" s="32"/>
      <c r="V44" s="148" t="str">
        <f t="shared" si="45"/>
        <v/>
      </c>
      <c r="W44" s="148"/>
      <c r="X44" s="98" t="str">
        <f t="shared" si="1"/>
        <v/>
      </c>
      <c r="Y44" s="7" t="str">
        <f t="shared" si="46"/>
        <v/>
      </c>
      <c r="AA44" s="6">
        <v>24</v>
      </c>
      <c r="AB44" s="36"/>
      <c r="AC44" s="36"/>
      <c r="AD44" s="34"/>
      <c r="AE44" s="32"/>
      <c r="AF44" s="148" t="str">
        <f t="shared" ref="AF44:AF60" si="60">IF(AB44="IN",AD$12,IF(AB44="OUT",AD$10,IF(AC44="D",AC$10,IF(AC44="W",AC$11,IF(AC44="SC",AC$12,IF(AC44="EX1",AC$13,IF(AC44="EX2",AC$14,"")))))))</f>
        <v/>
      </c>
      <c r="AG44" s="148"/>
      <c r="AH44" s="98" t="str">
        <f t="shared" si="8"/>
        <v/>
      </c>
      <c r="AI44" s="7" t="str">
        <f t="shared" si="53"/>
        <v/>
      </c>
      <c r="AK44" s="6">
        <v>24</v>
      </c>
      <c r="AL44" s="36"/>
      <c r="AM44" s="36"/>
      <c r="AN44" s="34"/>
      <c r="AO44" s="32"/>
      <c r="AP44" s="148" t="str">
        <f t="shared" si="47"/>
        <v/>
      </c>
      <c r="AQ44" s="148"/>
      <c r="AR44" s="98" t="str">
        <f t="shared" si="9"/>
        <v/>
      </c>
      <c r="AS44" s="7" t="str">
        <f t="shared" si="54"/>
        <v/>
      </c>
      <c r="AT44" s="3"/>
      <c r="AU44" s="6">
        <v>24</v>
      </c>
      <c r="AV44" s="36"/>
      <c r="AW44" s="36"/>
      <c r="AX44" s="34"/>
      <c r="AY44" s="32"/>
      <c r="AZ44" s="148" t="str">
        <f t="shared" si="55"/>
        <v/>
      </c>
      <c r="BA44" s="148"/>
      <c r="BB44" s="98" t="str">
        <f t="shared" si="10"/>
        <v/>
      </c>
      <c r="BC44" s="7" t="str">
        <f t="shared" si="56"/>
        <v/>
      </c>
      <c r="BE44" s="6">
        <v>24</v>
      </c>
      <c r="BF44" s="36"/>
      <c r="BG44" s="36"/>
      <c r="BH44" s="34"/>
      <c r="BI44" s="32"/>
      <c r="BJ44" s="148" t="str">
        <f t="shared" si="40"/>
        <v/>
      </c>
      <c r="BK44" s="148"/>
      <c r="BL44" s="98" t="str">
        <f t="shared" si="11"/>
        <v/>
      </c>
      <c r="BM44" s="7" t="str">
        <f t="shared" ref="BM44:BM60" si="61">IF(BG44="D",BL44/$BG$10,IF(BG44="W",BL44/$BG$11,IF(BG44="SC",BL44/$BG$12,IF(BG44="EX1",BL44/$BG$13,IF(BG44="EX2",BL44/$BG$14,"")))))</f>
        <v/>
      </c>
      <c r="BO44" s="6">
        <v>24</v>
      </c>
      <c r="BP44" s="36"/>
      <c r="BQ44" s="36"/>
      <c r="BR44" s="34"/>
      <c r="BS44" s="32"/>
      <c r="BT44" s="148" t="str">
        <f t="shared" si="48"/>
        <v/>
      </c>
      <c r="BU44" s="148"/>
      <c r="BV44" s="98" t="str">
        <f t="shared" si="12"/>
        <v/>
      </c>
      <c r="BW44" s="7" t="str">
        <f t="shared" si="49"/>
        <v/>
      </c>
      <c r="BY44" s="6">
        <v>24</v>
      </c>
      <c r="BZ44" s="36"/>
      <c r="CA44" s="36"/>
      <c r="CB44" s="34"/>
      <c r="CC44" s="32"/>
      <c r="CD44" s="148" t="str">
        <f t="shared" si="50"/>
        <v/>
      </c>
      <c r="CE44" s="148"/>
      <c r="CF44" s="98" t="str">
        <f t="shared" si="13"/>
        <v/>
      </c>
      <c r="CG44" s="7" t="str">
        <f t="shared" si="51"/>
        <v/>
      </c>
      <c r="CI44" s="6">
        <v>24</v>
      </c>
      <c r="CJ44" s="36"/>
      <c r="CK44" s="36"/>
      <c r="CL44" s="34"/>
      <c r="CM44" s="32"/>
      <c r="CN44" s="148" t="str">
        <f t="shared" si="57"/>
        <v/>
      </c>
      <c r="CO44" s="148"/>
      <c r="CP44" s="98" t="str">
        <f t="shared" si="44"/>
        <v/>
      </c>
      <c r="CQ44" s="7" t="str">
        <f t="shared" si="58"/>
        <v/>
      </c>
      <c r="CS44" s="6">
        <v>24</v>
      </c>
      <c r="CT44" s="36"/>
      <c r="CU44" s="36"/>
      <c r="CV44" s="34"/>
      <c r="CW44" s="32"/>
      <c r="CX44" s="148" t="str">
        <f t="shared" si="15"/>
        <v/>
      </c>
      <c r="CY44" s="148"/>
      <c r="CZ44" s="98" t="str">
        <f t="shared" si="16"/>
        <v/>
      </c>
      <c r="DA44" s="7" t="str">
        <f t="shared" si="17"/>
        <v/>
      </c>
      <c r="DC44" s="6">
        <v>24</v>
      </c>
      <c r="DD44" s="36"/>
      <c r="DE44" s="36"/>
      <c r="DF44" s="34"/>
      <c r="DG44" s="32"/>
      <c r="DH44" s="148" t="str">
        <f t="shared" si="18"/>
        <v/>
      </c>
      <c r="DI44" s="148"/>
      <c r="DJ44" s="98" t="str">
        <f t="shared" si="19"/>
        <v/>
      </c>
      <c r="DK44" s="7" t="str">
        <f t="shared" si="20"/>
        <v/>
      </c>
      <c r="DM44" s="6">
        <v>24</v>
      </c>
      <c r="DN44" s="36"/>
      <c r="DO44" s="36"/>
      <c r="DP44" s="34"/>
      <c r="DQ44" s="32"/>
      <c r="DR44" s="148" t="str">
        <f t="shared" si="21"/>
        <v/>
      </c>
      <c r="DS44" s="148"/>
      <c r="DT44" s="98" t="str">
        <f t="shared" si="22"/>
        <v/>
      </c>
      <c r="DU44" s="7" t="str">
        <f t="shared" si="23"/>
        <v/>
      </c>
    </row>
    <row r="45" spans="7:125" x14ac:dyDescent="0.2">
      <c r="G45" s="6">
        <v>25</v>
      </c>
      <c r="H45" s="36"/>
      <c r="I45" s="36"/>
      <c r="J45" s="34"/>
      <c r="K45" s="32"/>
      <c r="L45" s="148" t="str">
        <f t="shared" si="52"/>
        <v/>
      </c>
      <c r="M45" s="148"/>
      <c r="N45" s="98" t="str">
        <f t="shared" si="0"/>
        <v/>
      </c>
      <c r="O45" s="7" t="str">
        <f t="shared" si="59"/>
        <v/>
      </c>
      <c r="Q45" s="6">
        <v>25</v>
      </c>
      <c r="R45" s="36"/>
      <c r="S45" s="36"/>
      <c r="T45" s="34"/>
      <c r="U45" s="32"/>
      <c r="V45" s="148" t="str">
        <f t="shared" si="45"/>
        <v/>
      </c>
      <c r="W45" s="148"/>
      <c r="X45" s="98" t="str">
        <f t="shared" si="1"/>
        <v/>
      </c>
      <c r="Y45" s="7" t="str">
        <f t="shared" si="46"/>
        <v/>
      </c>
      <c r="AA45" s="6">
        <v>25</v>
      </c>
      <c r="AB45" s="36"/>
      <c r="AC45" s="36"/>
      <c r="AD45" s="34"/>
      <c r="AE45" s="32"/>
      <c r="AF45" s="148" t="str">
        <f t="shared" si="60"/>
        <v/>
      </c>
      <c r="AG45" s="148"/>
      <c r="AH45" s="98" t="str">
        <f t="shared" si="8"/>
        <v/>
      </c>
      <c r="AI45" s="7" t="str">
        <f t="shared" si="53"/>
        <v/>
      </c>
      <c r="AK45" s="6">
        <v>25</v>
      </c>
      <c r="AL45" s="36"/>
      <c r="AM45" s="36"/>
      <c r="AN45" s="34"/>
      <c r="AO45" s="32"/>
      <c r="AP45" s="148" t="str">
        <f t="shared" si="47"/>
        <v/>
      </c>
      <c r="AQ45" s="148"/>
      <c r="AR45" s="98" t="str">
        <f t="shared" si="9"/>
        <v/>
      </c>
      <c r="AS45" s="7" t="str">
        <f t="shared" si="54"/>
        <v/>
      </c>
      <c r="AT45" s="3"/>
      <c r="AU45" s="6">
        <v>25</v>
      </c>
      <c r="AV45" s="36"/>
      <c r="AW45" s="36"/>
      <c r="AX45" s="34"/>
      <c r="AY45" s="32"/>
      <c r="AZ45" s="148" t="str">
        <f t="shared" si="55"/>
        <v/>
      </c>
      <c r="BA45" s="148"/>
      <c r="BB45" s="98" t="str">
        <f t="shared" si="10"/>
        <v/>
      </c>
      <c r="BC45" s="7" t="str">
        <f t="shared" si="56"/>
        <v/>
      </c>
      <c r="BE45" s="6">
        <v>25</v>
      </c>
      <c r="BF45" s="36"/>
      <c r="BG45" s="36"/>
      <c r="BH45" s="34"/>
      <c r="BI45" s="32"/>
      <c r="BJ45" s="148" t="str">
        <f t="shared" si="40"/>
        <v/>
      </c>
      <c r="BK45" s="148"/>
      <c r="BL45" s="98" t="str">
        <f t="shared" si="11"/>
        <v/>
      </c>
      <c r="BM45" s="7" t="str">
        <f t="shared" si="61"/>
        <v/>
      </c>
      <c r="BO45" s="6">
        <v>25</v>
      </c>
      <c r="BP45" s="36"/>
      <c r="BQ45" s="36"/>
      <c r="BR45" s="34"/>
      <c r="BS45" s="32"/>
      <c r="BT45" s="148" t="str">
        <f t="shared" si="48"/>
        <v/>
      </c>
      <c r="BU45" s="148"/>
      <c r="BV45" s="98" t="str">
        <f t="shared" si="12"/>
        <v/>
      </c>
      <c r="BW45" s="7" t="str">
        <f t="shared" si="49"/>
        <v/>
      </c>
      <c r="BY45" s="6">
        <v>25</v>
      </c>
      <c r="BZ45" s="36"/>
      <c r="CA45" s="36"/>
      <c r="CB45" s="34"/>
      <c r="CC45" s="32"/>
      <c r="CD45" s="148" t="str">
        <f t="shared" si="50"/>
        <v/>
      </c>
      <c r="CE45" s="148"/>
      <c r="CF45" s="98" t="str">
        <f t="shared" si="13"/>
        <v/>
      </c>
      <c r="CG45" s="7" t="str">
        <f t="shared" si="51"/>
        <v/>
      </c>
      <c r="CI45" s="6">
        <v>25</v>
      </c>
      <c r="CJ45" s="36"/>
      <c r="CK45" s="36"/>
      <c r="CL45" s="34"/>
      <c r="CM45" s="32"/>
      <c r="CN45" s="148" t="str">
        <f t="shared" si="57"/>
        <v/>
      </c>
      <c r="CO45" s="148"/>
      <c r="CP45" s="98" t="str">
        <f t="shared" si="44"/>
        <v/>
      </c>
      <c r="CQ45" s="7" t="str">
        <f t="shared" si="58"/>
        <v/>
      </c>
      <c r="CS45" s="6">
        <v>25</v>
      </c>
      <c r="CT45" s="36"/>
      <c r="CU45" s="36"/>
      <c r="CV45" s="34"/>
      <c r="CW45" s="32"/>
      <c r="CX45" s="148" t="str">
        <f t="shared" si="15"/>
        <v/>
      </c>
      <c r="CY45" s="148"/>
      <c r="CZ45" s="98" t="str">
        <f t="shared" si="16"/>
        <v/>
      </c>
      <c r="DA45" s="7" t="str">
        <f t="shared" si="17"/>
        <v/>
      </c>
      <c r="DC45" s="6">
        <v>25</v>
      </c>
      <c r="DD45" s="36"/>
      <c r="DE45" s="36"/>
      <c r="DF45" s="34"/>
      <c r="DG45" s="32"/>
      <c r="DH45" s="148" t="str">
        <f t="shared" si="18"/>
        <v/>
      </c>
      <c r="DI45" s="148"/>
      <c r="DJ45" s="98" t="str">
        <f t="shared" si="19"/>
        <v/>
      </c>
      <c r="DK45" s="7" t="str">
        <f t="shared" si="20"/>
        <v/>
      </c>
      <c r="DM45" s="6">
        <v>25</v>
      </c>
      <c r="DN45" s="36"/>
      <c r="DO45" s="36"/>
      <c r="DP45" s="34"/>
      <c r="DQ45" s="32"/>
      <c r="DR45" s="148" t="str">
        <f t="shared" si="21"/>
        <v/>
      </c>
      <c r="DS45" s="148"/>
      <c r="DT45" s="98" t="str">
        <f t="shared" si="22"/>
        <v/>
      </c>
      <c r="DU45" s="7" t="str">
        <f t="shared" si="23"/>
        <v/>
      </c>
    </row>
    <row r="46" spans="7:125" x14ac:dyDescent="0.2">
      <c r="G46" s="6">
        <v>26</v>
      </c>
      <c r="H46" s="36"/>
      <c r="I46" s="36"/>
      <c r="J46" s="34"/>
      <c r="K46" s="32"/>
      <c r="L46" s="148" t="str">
        <f t="shared" si="52"/>
        <v/>
      </c>
      <c r="M46" s="148"/>
      <c r="N46" s="98" t="str">
        <f t="shared" si="0"/>
        <v/>
      </c>
      <c r="O46" s="7" t="str">
        <f t="shared" si="59"/>
        <v/>
      </c>
      <c r="Q46" s="6">
        <v>26</v>
      </c>
      <c r="R46" s="36"/>
      <c r="S46" s="36"/>
      <c r="T46" s="34"/>
      <c r="U46" s="32"/>
      <c r="V46" s="148" t="str">
        <f t="shared" si="45"/>
        <v/>
      </c>
      <c r="W46" s="148"/>
      <c r="X46" s="98" t="str">
        <f t="shared" si="1"/>
        <v/>
      </c>
      <c r="Y46" s="7" t="str">
        <f t="shared" si="46"/>
        <v/>
      </c>
      <c r="AA46" s="6">
        <v>26</v>
      </c>
      <c r="AB46" s="36"/>
      <c r="AC46" s="36"/>
      <c r="AD46" s="34"/>
      <c r="AE46" s="32"/>
      <c r="AF46" s="148" t="str">
        <f t="shared" si="60"/>
        <v/>
      </c>
      <c r="AG46" s="148"/>
      <c r="AH46" s="98" t="str">
        <f t="shared" si="8"/>
        <v/>
      </c>
      <c r="AI46" s="7" t="str">
        <f t="shared" si="53"/>
        <v/>
      </c>
      <c r="AK46" s="6">
        <v>26</v>
      </c>
      <c r="AL46" s="36"/>
      <c r="AM46" s="36"/>
      <c r="AN46" s="34"/>
      <c r="AO46" s="32"/>
      <c r="AP46" s="148" t="str">
        <f t="shared" si="47"/>
        <v/>
      </c>
      <c r="AQ46" s="148"/>
      <c r="AR46" s="98" t="str">
        <f t="shared" si="9"/>
        <v/>
      </c>
      <c r="AS46" s="7" t="str">
        <f t="shared" si="54"/>
        <v/>
      </c>
      <c r="AT46" s="3"/>
      <c r="AU46" s="6">
        <v>26</v>
      </c>
      <c r="AV46" s="36"/>
      <c r="AW46" s="36"/>
      <c r="AX46" s="34"/>
      <c r="AY46" s="32"/>
      <c r="AZ46" s="148" t="str">
        <f t="shared" si="55"/>
        <v/>
      </c>
      <c r="BA46" s="148"/>
      <c r="BB46" s="98" t="str">
        <f t="shared" si="10"/>
        <v/>
      </c>
      <c r="BC46" s="7" t="str">
        <f t="shared" si="56"/>
        <v/>
      </c>
      <c r="BE46" s="6">
        <v>26</v>
      </c>
      <c r="BF46" s="36"/>
      <c r="BG46" s="36"/>
      <c r="BH46" s="34"/>
      <c r="BI46" s="32"/>
      <c r="BJ46" s="148" t="str">
        <f t="shared" ref="BJ46:BJ60" si="62">IF(BF46="IN",BH$12,IF(BF46="OUT",BH$10,IF(BG46="D",BG$10,IF(BG46="W",BG$11,IF(BG46="SC",BG$12,IF(BG46="EX1",BG$13,IF(BG46="EX2",BG$14,"")))))))</f>
        <v/>
      </c>
      <c r="BK46" s="148"/>
      <c r="BL46" s="98" t="str">
        <f t="shared" si="11"/>
        <v/>
      </c>
      <c r="BM46" s="7" t="str">
        <f t="shared" si="61"/>
        <v/>
      </c>
      <c r="BO46" s="6">
        <v>26</v>
      </c>
      <c r="BP46" s="36"/>
      <c r="BQ46" s="36"/>
      <c r="BR46" s="34"/>
      <c r="BS46" s="32"/>
      <c r="BT46" s="148" t="str">
        <f t="shared" si="48"/>
        <v/>
      </c>
      <c r="BU46" s="148"/>
      <c r="BV46" s="98" t="str">
        <f t="shared" si="12"/>
        <v/>
      </c>
      <c r="BW46" s="7" t="str">
        <f t="shared" si="49"/>
        <v/>
      </c>
      <c r="BY46" s="6">
        <v>26</v>
      </c>
      <c r="BZ46" s="36"/>
      <c r="CA46" s="36"/>
      <c r="CB46" s="34"/>
      <c r="CC46" s="32"/>
      <c r="CD46" s="148" t="str">
        <f t="shared" si="50"/>
        <v/>
      </c>
      <c r="CE46" s="148"/>
      <c r="CF46" s="98" t="str">
        <f t="shared" si="13"/>
        <v/>
      </c>
      <c r="CG46" s="7" t="str">
        <f t="shared" si="51"/>
        <v/>
      </c>
      <c r="CI46" s="6">
        <v>26</v>
      </c>
      <c r="CJ46" s="36"/>
      <c r="CK46" s="36"/>
      <c r="CL46" s="34"/>
      <c r="CM46" s="32"/>
      <c r="CN46" s="148" t="str">
        <f t="shared" si="57"/>
        <v/>
      </c>
      <c r="CO46" s="148"/>
      <c r="CP46" s="98" t="str">
        <f t="shared" si="44"/>
        <v/>
      </c>
      <c r="CQ46" s="7" t="str">
        <f t="shared" si="58"/>
        <v/>
      </c>
      <c r="CS46" s="6">
        <v>26</v>
      </c>
      <c r="CT46" s="36"/>
      <c r="CU46" s="36"/>
      <c r="CV46" s="34"/>
      <c r="CW46" s="32"/>
      <c r="CX46" s="148" t="str">
        <f t="shared" si="15"/>
        <v/>
      </c>
      <c r="CY46" s="148"/>
      <c r="CZ46" s="98" t="str">
        <f t="shared" si="16"/>
        <v/>
      </c>
      <c r="DA46" s="7" t="str">
        <f t="shared" si="17"/>
        <v/>
      </c>
      <c r="DC46" s="6">
        <v>26</v>
      </c>
      <c r="DD46" s="36"/>
      <c r="DE46" s="36"/>
      <c r="DF46" s="34"/>
      <c r="DG46" s="32"/>
      <c r="DH46" s="148" t="str">
        <f t="shared" si="18"/>
        <v/>
      </c>
      <c r="DI46" s="148"/>
      <c r="DJ46" s="98" t="str">
        <f t="shared" si="19"/>
        <v/>
      </c>
      <c r="DK46" s="7" t="str">
        <f t="shared" si="20"/>
        <v/>
      </c>
      <c r="DM46" s="6">
        <v>26</v>
      </c>
      <c r="DN46" s="36"/>
      <c r="DO46" s="36"/>
      <c r="DP46" s="34"/>
      <c r="DQ46" s="32"/>
      <c r="DR46" s="148" t="str">
        <f t="shared" si="21"/>
        <v/>
      </c>
      <c r="DS46" s="148"/>
      <c r="DT46" s="98" t="str">
        <f t="shared" si="22"/>
        <v/>
      </c>
      <c r="DU46" s="7" t="str">
        <f t="shared" si="23"/>
        <v/>
      </c>
    </row>
    <row r="47" spans="7:125" x14ac:dyDescent="0.2">
      <c r="G47" s="6">
        <v>27</v>
      </c>
      <c r="H47" s="36"/>
      <c r="I47" s="36"/>
      <c r="J47" s="34"/>
      <c r="K47" s="32"/>
      <c r="L47" s="148" t="str">
        <f t="shared" si="52"/>
        <v/>
      </c>
      <c r="M47" s="148"/>
      <c r="N47" s="98" t="str">
        <f t="shared" si="0"/>
        <v/>
      </c>
      <c r="O47" s="7" t="str">
        <f t="shared" si="59"/>
        <v/>
      </c>
      <c r="Q47" s="6">
        <v>27</v>
      </c>
      <c r="R47" s="36"/>
      <c r="S47" s="36"/>
      <c r="T47" s="34"/>
      <c r="U47" s="32"/>
      <c r="V47" s="148" t="str">
        <f t="shared" si="45"/>
        <v/>
      </c>
      <c r="W47" s="148"/>
      <c r="X47" s="98" t="str">
        <f t="shared" si="1"/>
        <v/>
      </c>
      <c r="Y47" s="7" t="str">
        <f t="shared" si="46"/>
        <v/>
      </c>
      <c r="AA47" s="6">
        <v>27</v>
      </c>
      <c r="AB47" s="36"/>
      <c r="AC47" s="36"/>
      <c r="AD47" s="34"/>
      <c r="AE47" s="32"/>
      <c r="AF47" s="148" t="str">
        <f t="shared" si="60"/>
        <v/>
      </c>
      <c r="AG47" s="148"/>
      <c r="AH47" s="98" t="str">
        <f t="shared" si="8"/>
        <v/>
      </c>
      <c r="AI47" s="7" t="str">
        <f t="shared" si="53"/>
        <v/>
      </c>
      <c r="AK47" s="6">
        <v>27</v>
      </c>
      <c r="AL47" s="36"/>
      <c r="AM47" s="36"/>
      <c r="AN47" s="34"/>
      <c r="AO47" s="32"/>
      <c r="AP47" s="148" t="str">
        <f t="shared" si="47"/>
        <v/>
      </c>
      <c r="AQ47" s="148"/>
      <c r="AR47" s="98" t="str">
        <f t="shared" si="9"/>
        <v/>
      </c>
      <c r="AS47" s="7" t="str">
        <f t="shared" si="54"/>
        <v/>
      </c>
      <c r="AT47" s="3"/>
      <c r="AU47" s="6">
        <v>27</v>
      </c>
      <c r="AV47" s="36"/>
      <c r="AW47" s="36"/>
      <c r="AX47" s="34"/>
      <c r="AY47" s="32"/>
      <c r="AZ47" s="148" t="str">
        <f t="shared" si="55"/>
        <v/>
      </c>
      <c r="BA47" s="148"/>
      <c r="BB47" s="98" t="str">
        <f t="shared" si="10"/>
        <v/>
      </c>
      <c r="BC47" s="7" t="str">
        <f t="shared" si="56"/>
        <v/>
      </c>
      <c r="BE47" s="6">
        <v>27</v>
      </c>
      <c r="BF47" s="36"/>
      <c r="BG47" s="36"/>
      <c r="BH47" s="34"/>
      <c r="BI47" s="32"/>
      <c r="BJ47" s="148" t="str">
        <f t="shared" si="62"/>
        <v/>
      </c>
      <c r="BK47" s="148"/>
      <c r="BL47" s="98" t="str">
        <f t="shared" si="11"/>
        <v/>
      </c>
      <c r="BM47" s="7" t="str">
        <f t="shared" si="61"/>
        <v/>
      </c>
      <c r="BO47" s="6">
        <v>27</v>
      </c>
      <c r="BP47" s="36"/>
      <c r="BQ47" s="36"/>
      <c r="BR47" s="34"/>
      <c r="BS47" s="32"/>
      <c r="BT47" s="148" t="str">
        <f t="shared" si="48"/>
        <v/>
      </c>
      <c r="BU47" s="148"/>
      <c r="BV47" s="98" t="str">
        <f t="shared" si="12"/>
        <v/>
      </c>
      <c r="BW47" s="7" t="str">
        <f t="shared" si="49"/>
        <v/>
      </c>
      <c r="BY47" s="6">
        <v>27</v>
      </c>
      <c r="BZ47" s="36"/>
      <c r="CA47" s="36"/>
      <c r="CB47" s="34"/>
      <c r="CC47" s="32"/>
      <c r="CD47" s="148" t="str">
        <f t="shared" si="50"/>
        <v/>
      </c>
      <c r="CE47" s="148"/>
      <c r="CF47" s="98" t="str">
        <f t="shared" si="13"/>
        <v/>
      </c>
      <c r="CG47" s="7" t="str">
        <f t="shared" si="51"/>
        <v/>
      </c>
      <c r="CI47" s="6">
        <v>27</v>
      </c>
      <c r="CJ47" s="36"/>
      <c r="CK47" s="36"/>
      <c r="CL47" s="34"/>
      <c r="CM47" s="32"/>
      <c r="CN47" s="148" t="str">
        <f t="shared" si="57"/>
        <v/>
      </c>
      <c r="CO47" s="148"/>
      <c r="CP47" s="98" t="str">
        <f t="shared" si="44"/>
        <v/>
      </c>
      <c r="CQ47" s="7" t="str">
        <f t="shared" si="58"/>
        <v/>
      </c>
      <c r="CS47" s="6">
        <v>27</v>
      </c>
      <c r="CT47" s="36"/>
      <c r="CU47" s="36"/>
      <c r="CV47" s="34"/>
      <c r="CW47" s="32"/>
      <c r="CX47" s="148" t="str">
        <f t="shared" si="15"/>
        <v/>
      </c>
      <c r="CY47" s="148"/>
      <c r="CZ47" s="98" t="str">
        <f t="shared" si="16"/>
        <v/>
      </c>
      <c r="DA47" s="7" t="str">
        <f t="shared" si="17"/>
        <v/>
      </c>
      <c r="DC47" s="6">
        <v>27</v>
      </c>
      <c r="DD47" s="36"/>
      <c r="DE47" s="36"/>
      <c r="DF47" s="34"/>
      <c r="DG47" s="32"/>
      <c r="DH47" s="148" t="str">
        <f t="shared" si="18"/>
        <v/>
      </c>
      <c r="DI47" s="148"/>
      <c r="DJ47" s="98" t="str">
        <f t="shared" si="19"/>
        <v/>
      </c>
      <c r="DK47" s="7" t="str">
        <f t="shared" si="20"/>
        <v/>
      </c>
      <c r="DM47" s="6">
        <v>27</v>
      </c>
      <c r="DN47" s="36"/>
      <c r="DO47" s="36"/>
      <c r="DP47" s="34"/>
      <c r="DQ47" s="32"/>
      <c r="DR47" s="148" t="str">
        <f t="shared" si="21"/>
        <v/>
      </c>
      <c r="DS47" s="148"/>
      <c r="DT47" s="98" t="str">
        <f t="shared" si="22"/>
        <v/>
      </c>
      <c r="DU47" s="7" t="str">
        <f t="shared" si="23"/>
        <v/>
      </c>
    </row>
    <row r="48" spans="7:125" x14ac:dyDescent="0.2">
      <c r="G48" s="6">
        <v>28</v>
      </c>
      <c r="H48" s="36"/>
      <c r="I48" s="36"/>
      <c r="J48" s="34"/>
      <c r="K48" s="32"/>
      <c r="L48" s="148" t="str">
        <f t="shared" si="52"/>
        <v/>
      </c>
      <c r="M48" s="148"/>
      <c r="N48" s="98" t="str">
        <f t="shared" si="0"/>
        <v/>
      </c>
      <c r="O48" s="7" t="str">
        <f t="shared" si="59"/>
        <v/>
      </c>
      <c r="Q48" s="6">
        <v>28</v>
      </c>
      <c r="R48" s="36"/>
      <c r="S48" s="36"/>
      <c r="T48" s="34"/>
      <c r="U48" s="32"/>
      <c r="V48" s="148" t="str">
        <f t="shared" si="45"/>
        <v/>
      </c>
      <c r="W48" s="148"/>
      <c r="X48" s="98" t="str">
        <f t="shared" si="1"/>
        <v/>
      </c>
      <c r="Y48" s="7" t="str">
        <f t="shared" si="46"/>
        <v/>
      </c>
      <c r="AA48" s="6">
        <v>28</v>
      </c>
      <c r="AB48" s="36"/>
      <c r="AC48" s="36"/>
      <c r="AD48" s="34"/>
      <c r="AE48" s="32"/>
      <c r="AF48" s="148" t="str">
        <f t="shared" si="60"/>
        <v/>
      </c>
      <c r="AG48" s="148"/>
      <c r="AH48" s="98" t="str">
        <f t="shared" si="8"/>
        <v/>
      </c>
      <c r="AI48" s="7" t="str">
        <f t="shared" si="53"/>
        <v/>
      </c>
      <c r="AK48" s="6">
        <v>28</v>
      </c>
      <c r="AL48" s="36"/>
      <c r="AM48" s="36"/>
      <c r="AN48" s="34"/>
      <c r="AO48" s="32"/>
      <c r="AP48" s="148" t="str">
        <f t="shared" si="47"/>
        <v/>
      </c>
      <c r="AQ48" s="148"/>
      <c r="AR48" s="98" t="str">
        <f t="shared" si="9"/>
        <v/>
      </c>
      <c r="AS48" s="7" t="str">
        <f t="shared" si="54"/>
        <v/>
      </c>
      <c r="AT48" s="3"/>
      <c r="AU48" s="6">
        <v>28</v>
      </c>
      <c r="AV48" s="36"/>
      <c r="AW48" s="36"/>
      <c r="AX48" s="34"/>
      <c r="AY48" s="32"/>
      <c r="AZ48" s="148" t="str">
        <f t="shared" si="55"/>
        <v/>
      </c>
      <c r="BA48" s="148"/>
      <c r="BB48" s="98" t="str">
        <f t="shared" si="10"/>
        <v/>
      </c>
      <c r="BC48" s="7" t="str">
        <f t="shared" si="56"/>
        <v/>
      </c>
      <c r="BE48" s="6">
        <v>28</v>
      </c>
      <c r="BF48" s="36"/>
      <c r="BG48" s="36"/>
      <c r="BH48" s="34"/>
      <c r="BI48" s="32"/>
      <c r="BJ48" s="148" t="str">
        <f t="shared" si="62"/>
        <v/>
      </c>
      <c r="BK48" s="148"/>
      <c r="BL48" s="98" t="str">
        <f t="shared" si="11"/>
        <v/>
      </c>
      <c r="BM48" s="7" t="str">
        <f t="shared" si="61"/>
        <v/>
      </c>
      <c r="BO48" s="6">
        <v>28</v>
      </c>
      <c r="BP48" s="36"/>
      <c r="BQ48" s="36"/>
      <c r="BR48" s="34"/>
      <c r="BS48" s="32"/>
      <c r="BT48" s="148" t="str">
        <f t="shared" si="48"/>
        <v/>
      </c>
      <c r="BU48" s="148"/>
      <c r="BV48" s="98" t="str">
        <f t="shared" si="12"/>
        <v/>
      </c>
      <c r="BW48" s="7" t="str">
        <f t="shared" si="49"/>
        <v/>
      </c>
      <c r="BY48" s="6">
        <v>28</v>
      </c>
      <c r="BZ48" s="36"/>
      <c r="CA48" s="36"/>
      <c r="CB48" s="34"/>
      <c r="CC48" s="32"/>
      <c r="CD48" s="148" t="str">
        <f t="shared" si="50"/>
        <v/>
      </c>
      <c r="CE48" s="148"/>
      <c r="CF48" s="98" t="str">
        <f t="shared" si="13"/>
        <v/>
      </c>
      <c r="CG48" s="7" t="str">
        <f t="shared" si="51"/>
        <v/>
      </c>
      <c r="CI48" s="6">
        <v>28</v>
      </c>
      <c r="CJ48" s="36"/>
      <c r="CK48" s="36"/>
      <c r="CL48" s="34"/>
      <c r="CM48" s="32"/>
      <c r="CN48" s="148" t="str">
        <f t="shared" si="57"/>
        <v/>
      </c>
      <c r="CO48" s="148"/>
      <c r="CP48" s="98" t="str">
        <f t="shared" si="44"/>
        <v/>
      </c>
      <c r="CQ48" s="7" t="str">
        <f t="shared" si="58"/>
        <v/>
      </c>
      <c r="CS48" s="6">
        <v>28</v>
      </c>
      <c r="CT48" s="36"/>
      <c r="CU48" s="36"/>
      <c r="CV48" s="34"/>
      <c r="CW48" s="32"/>
      <c r="CX48" s="148" t="str">
        <f t="shared" si="15"/>
        <v/>
      </c>
      <c r="CY48" s="148"/>
      <c r="CZ48" s="98" t="str">
        <f t="shared" si="16"/>
        <v/>
      </c>
      <c r="DA48" s="7" t="str">
        <f t="shared" si="17"/>
        <v/>
      </c>
      <c r="DC48" s="6">
        <v>28</v>
      </c>
      <c r="DD48" s="36"/>
      <c r="DE48" s="36"/>
      <c r="DF48" s="34"/>
      <c r="DG48" s="32"/>
      <c r="DH48" s="148" t="str">
        <f t="shared" si="18"/>
        <v/>
      </c>
      <c r="DI48" s="148"/>
      <c r="DJ48" s="98" t="str">
        <f t="shared" si="19"/>
        <v/>
      </c>
      <c r="DK48" s="7" t="str">
        <f t="shared" si="20"/>
        <v/>
      </c>
      <c r="DM48" s="6">
        <v>28</v>
      </c>
      <c r="DN48" s="36"/>
      <c r="DO48" s="36"/>
      <c r="DP48" s="34"/>
      <c r="DQ48" s="32"/>
      <c r="DR48" s="148" t="str">
        <f t="shared" si="21"/>
        <v/>
      </c>
      <c r="DS48" s="148"/>
      <c r="DT48" s="98" t="str">
        <f t="shared" si="22"/>
        <v/>
      </c>
      <c r="DU48" s="7" t="str">
        <f t="shared" si="23"/>
        <v/>
      </c>
    </row>
    <row r="49" spans="7:125" x14ac:dyDescent="0.2">
      <c r="G49" s="6">
        <v>29</v>
      </c>
      <c r="H49" s="36"/>
      <c r="I49" s="36"/>
      <c r="J49" s="34"/>
      <c r="K49" s="32"/>
      <c r="L49" s="148" t="str">
        <f t="shared" si="52"/>
        <v/>
      </c>
      <c r="M49" s="148"/>
      <c r="N49" s="98" t="str">
        <f t="shared" si="0"/>
        <v/>
      </c>
      <c r="O49" s="7" t="str">
        <f t="shared" si="59"/>
        <v/>
      </c>
      <c r="Q49" s="6">
        <v>29</v>
      </c>
      <c r="R49" s="36"/>
      <c r="S49" s="36"/>
      <c r="T49" s="34"/>
      <c r="U49" s="32"/>
      <c r="V49" s="148" t="str">
        <f t="shared" si="45"/>
        <v/>
      </c>
      <c r="W49" s="148"/>
      <c r="X49" s="98" t="str">
        <f t="shared" si="1"/>
        <v/>
      </c>
      <c r="Y49" s="7" t="str">
        <f t="shared" si="46"/>
        <v/>
      </c>
      <c r="AA49" s="6">
        <v>29</v>
      </c>
      <c r="AB49" s="36"/>
      <c r="AC49" s="36"/>
      <c r="AD49" s="34"/>
      <c r="AE49" s="32"/>
      <c r="AF49" s="148" t="str">
        <f t="shared" si="60"/>
        <v/>
      </c>
      <c r="AG49" s="148"/>
      <c r="AH49" s="98" t="str">
        <f t="shared" si="8"/>
        <v/>
      </c>
      <c r="AI49" s="7" t="str">
        <f t="shared" si="53"/>
        <v/>
      </c>
      <c r="AK49" s="6">
        <v>29</v>
      </c>
      <c r="AL49" s="36"/>
      <c r="AM49" s="36"/>
      <c r="AN49" s="34"/>
      <c r="AO49" s="32"/>
      <c r="AP49" s="148" t="str">
        <f t="shared" si="47"/>
        <v/>
      </c>
      <c r="AQ49" s="148"/>
      <c r="AR49" s="98" t="str">
        <f t="shared" si="9"/>
        <v/>
      </c>
      <c r="AS49" s="7" t="str">
        <f t="shared" si="54"/>
        <v/>
      </c>
      <c r="AT49" s="3"/>
      <c r="AU49" s="6">
        <v>29</v>
      </c>
      <c r="AV49" s="36"/>
      <c r="AW49" s="36"/>
      <c r="AX49" s="34"/>
      <c r="AY49" s="32"/>
      <c r="AZ49" s="148" t="str">
        <f t="shared" si="55"/>
        <v/>
      </c>
      <c r="BA49" s="148"/>
      <c r="BB49" s="98" t="str">
        <f t="shared" si="10"/>
        <v/>
      </c>
      <c r="BC49" s="7" t="str">
        <f t="shared" si="56"/>
        <v/>
      </c>
      <c r="BE49" s="6">
        <v>29</v>
      </c>
      <c r="BF49" s="36"/>
      <c r="BG49" s="36"/>
      <c r="BH49" s="34"/>
      <c r="BI49" s="32"/>
      <c r="BJ49" s="148" t="str">
        <f t="shared" si="62"/>
        <v/>
      </c>
      <c r="BK49" s="148"/>
      <c r="BL49" s="98" t="str">
        <f t="shared" si="11"/>
        <v/>
      </c>
      <c r="BM49" s="7" t="str">
        <f t="shared" si="61"/>
        <v/>
      </c>
      <c r="BO49" s="6">
        <v>29</v>
      </c>
      <c r="BP49" s="36"/>
      <c r="BQ49" s="36"/>
      <c r="BR49" s="34"/>
      <c r="BS49" s="32"/>
      <c r="BT49" s="148" t="str">
        <f t="shared" si="48"/>
        <v/>
      </c>
      <c r="BU49" s="148"/>
      <c r="BV49" s="98" t="str">
        <f t="shared" si="12"/>
        <v/>
      </c>
      <c r="BW49" s="7" t="str">
        <f t="shared" si="49"/>
        <v/>
      </c>
      <c r="BY49" s="6">
        <v>29</v>
      </c>
      <c r="BZ49" s="36"/>
      <c r="CA49" s="36"/>
      <c r="CB49" s="34"/>
      <c r="CC49" s="32"/>
      <c r="CD49" s="148" t="str">
        <f t="shared" si="50"/>
        <v/>
      </c>
      <c r="CE49" s="148"/>
      <c r="CF49" s="98" t="str">
        <f t="shared" si="13"/>
        <v/>
      </c>
      <c r="CG49" s="7" t="str">
        <f t="shared" si="51"/>
        <v/>
      </c>
      <c r="CI49" s="6">
        <v>29</v>
      </c>
      <c r="CJ49" s="36"/>
      <c r="CK49" s="36"/>
      <c r="CL49" s="34"/>
      <c r="CM49" s="32"/>
      <c r="CN49" s="148" t="str">
        <f t="shared" si="57"/>
        <v/>
      </c>
      <c r="CO49" s="148"/>
      <c r="CP49" s="98" t="str">
        <f t="shared" si="44"/>
        <v/>
      </c>
      <c r="CQ49" s="7" t="str">
        <f t="shared" si="58"/>
        <v/>
      </c>
      <c r="CS49" s="6">
        <v>29</v>
      </c>
      <c r="CT49" s="36"/>
      <c r="CU49" s="36"/>
      <c r="CV49" s="34"/>
      <c r="CW49" s="32"/>
      <c r="CX49" s="148" t="str">
        <f t="shared" si="15"/>
        <v/>
      </c>
      <c r="CY49" s="148"/>
      <c r="CZ49" s="98" t="str">
        <f t="shared" si="16"/>
        <v/>
      </c>
      <c r="DA49" s="7" t="str">
        <f t="shared" si="17"/>
        <v/>
      </c>
      <c r="DC49" s="6">
        <v>29</v>
      </c>
      <c r="DD49" s="36"/>
      <c r="DE49" s="36"/>
      <c r="DF49" s="34"/>
      <c r="DG49" s="32"/>
      <c r="DH49" s="148" t="str">
        <f t="shared" si="18"/>
        <v/>
      </c>
      <c r="DI49" s="148"/>
      <c r="DJ49" s="98" t="str">
        <f t="shared" si="19"/>
        <v/>
      </c>
      <c r="DK49" s="7" t="str">
        <f t="shared" si="20"/>
        <v/>
      </c>
      <c r="DM49" s="6">
        <v>29</v>
      </c>
      <c r="DN49" s="36"/>
      <c r="DO49" s="36"/>
      <c r="DP49" s="34"/>
      <c r="DQ49" s="32"/>
      <c r="DR49" s="148" t="str">
        <f t="shared" si="21"/>
        <v/>
      </c>
      <c r="DS49" s="148"/>
      <c r="DT49" s="98" t="str">
        <f t="shared" si="22"/>
        <v/>
      </c>
      <c r="DU49" s="7" t="str">
        <f t="shared" si="23"/>
        <v/>
      </c>
    </row>
    <row r="50" spans="7:125" x14ac:dyDescent="0.2">
      <c r="G50" s="6">
        <v>30</v>
      </c>
      <c r="H50" s="36"/>
      <c r="I50" s="36"/>
      <c r="J50" s="34"/>
      <c r="K50" s="32"/>
      <c r="L50" s="148" t="str">
        <f t="shared" si="52"/>
        <v/>
      </c>
      <c r="M50" s="148"/>
      <c r="N50" s="98" t="str">
        <f t="shared" si="0"/>
        <v/>
      </c>
      <c r="O50" s="7" t="str">
        <f t="shared" si="59"/>
        <v/>
      </c>
      <c r="Q50" s="6">
        <v>30</v>
      </c>
      <c r="R50" s="36"/>
      <c r="S50" s="36"/>
      <c r="T50" s="34"/>
      <c r="U50" s="32"/>
      <c r="V50" s="148" t="str">
        <f t="shared" si="45"/>
        <v/>
      </c>
      <c r="W50" s="148"/>
      <c r="X50" s="98" t="str">
        <f t="shared" si="1"/>
        <v/>
      </c>
      <c r="Y50" s="7" t="str">
        <f t="shared" si="46"/>
        <v/>
      </c>
      <c r="AA50" s="6">
        <v>30</v>
      </c>
      <c r="AB50" s="36"/>
      <c r="AC50" s="36"/>
      <c r="AD50" s="34"/>
      <c r="AE50" s="32"/>
      <c r="AF50" s="148" t="str">
        <f t="shared" si="60"/>
        <v/>
      </c>
      <c r="AG50" s="148"/>
      <c r="AH50" s="98" t="str">
        <f t="shared" si="8"/>
        <v/>
      </c>
      <c r="AI50" s="7" t="str">
        <f t="shared" si="53"/>
        <v/>
      </c>
      <c r="AK50" s="6">
        <v>30</v>
      </c>
      <c r="AL50" s="36"/>
      <c r="AM50" s="36"/>
      <c r="AN50" s="34"/>
      <c r="AO50" s="32"/>
      <c r="AP50" s="148" t="str">
        <f t="shared" si="47"/>
        <v/>
      </c>
      <c r="AQ50" s="148"/>
      <c r="AR50" s="98" t="str">
        <f t="shared" si="9"/>
        <v/>
      </c>
      <c r="AS50" s="7" t="str">
        <f t="shared" si="54"/>
        <v/>
      </c>
      <c r="AU50" s="6">
        <v>30</v>
      </c>
      <c r="AV50" s="36"/>
      <c r="AW50" s="36"/>
      <c r="AX50" s="34"/>
      <c r="AY50" s="32"/>
      <c r="AZ50" s="148" t="str">
        <f t="shared" si="55"/>
        <v/>
      </c>
      <c r="BA50" s="148"/>
      <c r="BB50" s="98" t="str">
        <f t="shared" si="10"/>
        <v/>
      </c>
      <c r="BC50" s="7" t="str">
        <f t="shared" si="56"/>
        <v/>
      </c>
      <c r="BE50" s="6">
        <v>30</v>
      </c>
      <c r="BF50" s="36"/>
      <c r="BG50" s="36"/>
      <c r="BH50" s="34"/>
      <c r="BI50" s="32"/>
      <c r="BJ50" s="148" t="str">
        <f t="shared" si="62"/>
        <v/>
      </c>
      <c r="BK50" s="148"/>
      <c r="BL50" s="98" t="str">
        <f t="shared" si="11"/>
        <v/>
      </c>
      <c r="BM50" s="7" t="str">
        <f t="shared" si="61"/>
        <v/>
      </c>
      <c r="BO50" s="6">
        <v>30</v>
      </c>
      <c r="BP50" s="36"/>
      <c r="BQ50" s="36"/>
      <c r="BR50" s="34"/>
      <c r="BS50" s="32"/>
      <c r="BT50" s="148" t="str">
        <f t="shared" si="48"/>
        <v/>
      </c>
      <c r="BU50" s="148"/>
      <c r="BV50" s="98" t="str">
        <f t="shared" si="12"/>
        <v/>
      </c>
      <c r="BW50" s="7" t="str">
        <f t="shared" si="49"/>
        <v/>
      </c>
      <c r="BY50" s="6">
        <v>30</v>
      </c>
      <c r="BZ50" s="36"/>
      <c r="CA50" s="36"/>
      <c r="CB50" s="34"/>
      <c r="CC50" s="32"/>
      <c r="CD50" s="148" t="str">
        <f t="shared" si="50"/>
        <v/>
      </c>
      <c r="CE50" s="148"/>
      <c r="CF50" s="98" t="str">
        <f t="shared" si="13"/>
        <v/>
      </c>
      <c r="CG50" s="7" t="str">
        <f t="shared" si="51"/>
        <v/>
      </c>
      <c r="CI50" s="6">
        <v>30</v>
      </c>
      <c r="CJ50" s="36"/>
      <c r="CK50" s="36"/>
      <c r="CL50" s="34"/>
      <c r="CM50" s="32"/>
      <c r="CN50" s="148" t="str">
        <f t="shared" si="57"/>
        <v/>
      </c>
      <c r="CO50" s="148"/>
      <c r="CP50" s="98" t="str">
        <f t="shared" si="44"/>
        <v/>
      </c>
      <c r="CQ50" s="7" t="str">
        <f t="shared" si="58"/>
        <v/>
      </c>
      <c r="CS50" s="6">
        <v>30</v>
      </c>
      <c r="CT50" s="36"/>
      <c r="CU50" s="36"/>
      <c r="CV50" s="34"/>
      <c r="CW50" s="32"/>
      <c r="CX50" s="148" t="str">
        <f t="shared" si="15"/>
        <v/>
      </c>
      <c r="CY50" s="148"/>
      <c r="CZ50" s="98" t="str">
        <f t="shared" si="16"/>
        <v/>
      </c>
      <c r="DA50" s="7" t="str">
        <f t="shared" si="17"/>
        <v/>
      </c>
      <c r="DC50" s="6">
        <v>30</v>
      </c>
      <c r="DD50" s="36"/>
      <c r="DE50" s="36"/>
      <c r="DF50" s="34"/>
      <c r="DG50" s="32"/>
      <c r="DH50" s="148" t="str">
        <f t="shared" si="18"/>
        <v/>
      </c>
      <c r="DI50" s="148"/>
      <c r="DJ50" s="98" t="str">
        <f t="shared" si="19"/>
        <v/>
      </c>
      <c r="DK50" s="7" t="str">
        <f t="shared" si="20"/>
        <v/>
      </c>
      <c r="DM50" s="6">
        <v>30</v>
      </c>
      <c r="DN50" s="36"/>
      <c r="DO50" s="36"/>
      <c r="DP50" s="34"/>
      <c r="DQ50" s="32"/>
      <c r="DR50" s="148" t="str">
        <f t="shared" si="21"/>
        <v/>
      </c>
      <c r="DS50" s="148"/>
      <c r="DT50" s="98" t="str">
        <f t="shared" si="22"/>
        <v/>
      </c>
      <c r="DU50" s="7" t="str">
        <f t="shared" si="23"/>
        <v/>
      </c>
    </row>
    <row r="51" spans="7:125" x14ac:dyDescent="0.2">
      <c r="G51" s="6">
        <v>31</v>
      </c>
      <c r="H51" s="36"/>
      <c r="I51" s="36"/>
      <c r="J51" s="34"/>
      <c r="K51" s="32"/>
      <c r="L51" s="148" t="str">
        <f t="shared" si="52"/>
        <v/>
      </c>
      <c r="M51" s="148"/>
      <c r="N51" s="98" t="str">
        <f t="shared" si="0"/>
        <v/>
      </c>
      <c r="O51" s="7" t="str">
        <f t="shared" si="59"/>
        <v/>
      </c>
      <c r="Q51" s="6">
        <v>31</v>
      </c>
      <c r="R51" s="36"/>
      <c r="S51" s="36"/>
      <c r="T51" s="34"/>
      <c r="U51" s="32"/>
      <c r="V51" s="148" t="str">
        <f t="shared" si="45"/>
        <v/>
      </c>
      <c r="W51" s="148"/>
      <c r="X51" s="98" t="str">
        <f t="shared" si="1"/>
        <v/>
      </c>
      <c r="Y51" s="7" t="str">
        <f t="shared" si="46"/>
        <v/>
      </c>
      <c r="AA51" s="6">
        <v>31</v>
      </c>
      <c r="AB51" s="36"/>
      <c r="AC51" s="36"/>
      <c r="AD51" s="34"/>
      <c r="AE51" s="32"/>
      <c r="AF51" s="148" t="str">
        <f t="shared" si="60"/>
        <v/>
      </c>
      <c r="AG51" s="148"/>
      <c r="AH51" s="98" t="str">
        <f t="shared" si="8"/>
        <v/>
      </c>
      <c r="AI51" s="7" t="str">
        <f t="shared" si="53"/>
        <v/>
      </c>
      <c r="AK51" s="6">
        <v>31</v>
      </c>
      <c r="AL51" s="36"/>
      <c r="AM51" s="36"/>
      <c r="AN51" s="34"/>
      <c r="AO51" s="32"/>
      <c r="AP51" s="148" t="str">
        <f t="shared" si="47"/>
        <v/>
      </c>
      <c r="AQ51" s="148"/>
      <c r="AR51" s="98" t="str">
        <f t="shared" si="9"/>
        <v/>
      </c>
      <c r="AS51" s="7" t="str">
        <f t="shared" si="54"/>
        <v/>
      </c>
      <c r="AU51" s="6">
        <v>31</v>
      </c>
      <c r="AV51" s="36"/>
      <c r="AW51" s="36"/>
      <c r="AX51" s="34"/>
      <c r="AY51" s="32"/>
      <c r="AZ51" s="148" t="str">
        <f t="shared" si="55"/>
        <v/>
      </c>
      <c r="BA51" s="148"/>
      <c r="BB51" s="98" t="str">
        <f t="shared" si="10"/>
        <v/>
      </c>
      <c r="BC51" s="7" t="str">
        <f t="shared" si="56"/>
        <v/>
      </c>
      <c r="BE51" s="6">
        <v>31</v>
      </c>
      <c r="BF51" s="36"/>
      <c r="BG51" s="36"/>
      <c r="BH51" s="34"/>
      <c r="BI51" s="32"/>
      <c r="BJ51" s="148" t="str">
        <f t="shared" si="62"/>
        <v/>
      </c>
      <c r="BK51" s="148"/>
      <c r="BL51" s="98" t="str">
        <f t="shared" si="11"/>
        <v/>
      </c>
      <c r="BM51" s="7" t="str">
        <f t="shared" si="61"/>
        <v/>
      </c>
      <c r="BO51" s="6">
        <v>31</v>
      </c>
      <c r="BP51" s="36"/>
      <c r="BQ51" s="36"/>
      <c r="BR51" s="34"/>
      <c r="BS51" s="32"/>
      <c r="BT51" s="148" t="str">
        <f t="shared" si="48"/>
        <v/>
      </c>
      <c r="BU51" s="148"/>
      <c r="BV51" s="98" t="str">
        <f t="shared" si="12"/>
        <v/>
      </c>
      <c r="BW51" s="7" t="str">
        <f t="shared" si="49"/>
        <v/>
      </c>
      <c r="BY51" s="6">
        <v>31</v>
      </c>
      <c r="BZ51" s="36"/>
      <c r="CA51" s="36"/>
      <c r="CB51" s="34"/>
      <c r="CC51" s="32"/>
      <c r="CD51" s="148" t="str">
        <f t="shared" si="50"/>
        <v/>
      </c>
      <c r="CE51" s="148"/>
      <c r="CF51" s="98" t="str">
        <f t="shared" si="13"/>
        <v/>
      </c>
      <c r="CG51" s="7" t="str">
        <f t="shared" si="51"/>
        <v/>
      </c>
      <c r="CI51" s="6">
        <v>31</v>
      </c>
      <c r="CJ51" s="36"/>
      <c r="CK51" s="36"/>
      <c r="CL51" s="34"/>
      <c r="CM51" s="32"/>
      <c r="CN51" s="148" t="str">
        <f t="shared" si="57"/>
        <v/>
      </c>
      <c r="CO51" s="148"/>
      <c r="CP51" s="98" t="str">
        <f t="shared" si="44"/>
        <v/>
      </c>
      <c r="CQ51" s="7" t="str">
        <f t="shared" si="58"/>
        <v/>
      </c>
      <c r="CS51" s="6">
        <v>31</v>
      </c>
      <c r="CT51" s="36"/>
      <c r="CU51" s="36"/>
      <c r="CV51" s="34"/>
      <c r="CW51" s="32"/>
      <c r="CX51" s="148" t="str">
        <f t="shared" si="15"/>
        <v/>
      </c>
      <c r="CY51" s="148"/>
      <c r="CZ51" s="98" t="str">
        <f t="shared" si="16"/>
        <v/>
      </c>
      <c r="DA51" s="7" t="str">
        <f t="shared" si="17"/>
        <v/>
      </c>
      <c r="DC51" s="6">
        <v>31</v>
      </c>
      <c r="DD51" s="36"/>
      <c r="DE51" s="36"/>
      <c r="DF51" s="34"/>
      <c r="DG51" s="32"/>
      <c r="DH51" s="148" t="str">
        <f t="shared" si="18"/>
        <v/>
      </c>
      <c r="DI51" s="148"/>
      <c r="DJ51" s="98" t="str">
        <f t="shared" si="19"/>
        <v/>
      </c>
      <c r="DK51" s="7" t="str">
        <f t="shared" si="20"/>
        <v/>
      </c>
      <c r="DM51" s="6">
        <v>31</v>
      </c>
      <c r="DN51" s="36"/>
      <c r="DO51" s="36"/>
      <c r="DP51" s="34"/>
      <c r="DQ51" s="32"/>
      <c r="DR51" s="148" t="str">
        <f t="shared" si="21"/>
        <v/>
      </c>
      <c r="DS51" s="148"/>
      <c r="DT51" s="98" t="str">
        <f t="shared" si="22"/>
        <v/>
      </c>
      <c r="DU51" s="7" t="str">
        <f t="shared" si="23"/>
        <v/>
      </c>
    </row>
    <row r="52" spans="7:125" x14ac:dyDescent="0.2">
      <c r="G52" s="6">
        <v>32</v>
      </c>
      <c r="H52" s="36"/>
      <c r="I52" s="36"/>
      <c r="J52" s="34"/>
      <c r="K52" s="32"/>
      <c r="L52" s="148" t="str">
        <f t="shared" si="52"/>
        <v/>
      </c>
      <c r="M52" s="148"/>
      <c r="N52" s="98" t="str">
        <f t="shared" si="0"/>
        <v/>
      </c>
      <c r="O52" s="7" t="str">
        <f t="shared" si="59"/>
        <v/>
      </c>
      <c r="Q52" s="6">
        <v>32</v>
      </c>
      <c r="R52" s="36"/>
      <c r="S52" s="36"/>
      <c r="T52" s="34"/>
      <c r="U52" s="32"/>
      <c r="V52" s="148" t="str">
        <f t="shared" si="45"/>
        <v/>
      </c>
      <c r="W52" s="148"/>
      <c r="X52" s="98" t="str">
        <f t="shared" si="1"/>
        <v/>
      </c>
      <c r="Y52" s="7" t="str">
        <f t="shared" si="46"/>
        <v/>
      </c>
      <c r="AA52" s="6">
        <v>32</v>
      </c>
      <c r="AB52" s="36"/>
      <c r="AC52" s="36"/>
      <c r="AD52" s="34"/>
      <c r="AE52" s="32"/>
      <c r="AF52" s="148" t="str">
        <f t="shared" si="60"/>
        <v/>
      </c>
      <c r="AG52" s="148"/>
      <c r="AH52" s="98" t="str">
        <f t="shared" si="8"/>
        <v/>
      </c>
      <c r="AI52" s="7" t="str">
        <f t="shared" si="53"/>
        <v/>
      </c>
      <c r="AK52" s="6">
        <v>32</v>
      </c>
      <c r="AL52" s="36"/>
      <c r="AM52" s="36"/>
      <c r="AN52" s="34"/>
      <c r="AO52" s="32"/>
      <c r="AP52" s="148" t="str">
        <f t="shared" si="47"/>
        <v/>
      </c>
      <c r="AQ52" s="148"/>
      <c r="AR52" s="98" t="str">
        <f t="shared" si="9"/>
        <v/>
      </c>
      <c r="AS52" s="7" t="str">
        <f t="shared" si="54"/>
        <v/>
      </c>
      <c r="AU52" s="6">
        <v>32</v>
      </c>
      <c r="AV52" s="36"/>
      <c r="AW52" s="36"/>
      <c r="AX52" s="34"/>
      <c r="AY52" s="32"/>
      <c r="AZ52" s="148" t="str">
        <f t="shared" si="55"/>
        <v/>
      </c>
      <c r="BA52" s="148"/>
      <c r="BB52" s="98" t="str">
        <f t="shared" si="10"/>
        <v/>
      </c>
      <c r="BC52" s="7" t="str">
        <f t="shared" si="56"/>
        <v/>
      </c>
      <c r="BE52" s="6">
        <v>32</v>
      </c>
      <c r="BF52" s="36"/>
      <c r="BG52" s="36"/>
      <c r="BH52" s="34"/>
      <c r="BI52" s="32"/>
      <c r="BJ52" s="148" t="str">
        <f t="shared" si="62"/>
        <v/>
      </c>
      <c r="BK52" s="148"/>
      <c r="BL52" s="98" t="str">
        <f t="shared" si="11"/>
        <v/>
      </c>
      <c r="BM52" s="7" t="str">
        <f t="shared" si="61"/>
        <v/>
      </c>
      <c r="BO52" s="6">
        <v>32</v>
      </c>
      <c r="BP52" s="36"/>
      <c r="BQ52" s="36"/>
      <c r="BR52" s="34"/>
      <c r="BS52" s="32"/>
      <c r="BT52" s="148" t="str">
        <f t="shared" si="48"/>
        <v/>
      </c>
      <c r="BU52" s="148"/>
      <c r="BV52" s="98" t="str">
        <f t="shared" si="12"/>
        <v/>
      </c>
      <c r="BW52" s="7" t="str">
        <f t="shared" si="49"/>
        <v/>
      </c>
      <c r="BY52" s="6">
        <v>32</v>
      </c>
      <c r="BZ52" s="36"/>
      <c r="CA52" s="36"/>
      <c r="CB52" s="34"/>
      <c r="CC52" s="32"/>
      <c r="CD52" s="148" t="str">
        <f t="shared" si="50"/>
        <v/>
      </c>
      <c r="CE52" s="148"/>
      <c r="CF52" s="98" t="str">
        <f t="shared" si="13"/>
        <v/>
      </c>
      <c r="CG52" s="7" t="str">
        <f t="shared" si="51"/>
        <v/>
      </c>
      <c r="CI52" s="6">
        <v>32</v>
      </c>
      <c r="CJ52" s="36"/>
      <c r="CK52" s="36"/>
      <c r="CL52" s="34"/>
      <c r="CM52" s="32"/>
      <c r="CN52" s="148" t="str">
        <f t="shared" si="57"/>
        <v/>
      </c>
      <c r="CO52" s="148"/>
      <c r="CP52" s="98" t="str">
        <f t="shared" si="44"/>
        <v/>
      </c>
      <c r="CQ52" s="7" t="str">
        <f t="shared" si="58"/>
        <v/>
      </c>
      <c r="CS52" s="6">
        <v>32</v>
      </c>
      <c r="CT52" s="36"/>
      <c r="CU52" s="36"/>
      <c r="CV52" s="34"/>
      <c r="CW52" s="32"/>
      <c r="CX52" s="148" t="str">
        <f t="shared" si="15"/>
        <v/>
      </c>
      <c r="CY52" s="148"/>
      <c r="CZ52" s="98" t="str">
        <f t="shared" si="16"/>
        <v/>
      </c>
      <c r="DA52" s="7" t="str">
        <f t="shared" si="17"/>
        <v/>
      </c>
      <c r="DC52" s="6">
        <v>32</v>
      </c>
      <c r="DD52" s="36"/>
      <c r="DE52" s="36"/>
      <c r="DF52" s="34"/>
      <c r="DG52" s="32"/>
      <c r="DH52" s="148" t="str">
        <f t="shared" si="18"/>
        <v/>
      </c>
      <c r="DI52" s="148"/>
      <c r="DJ52" s="98" t="str">
        <f t="shared" si="19"/>
        <v/>
      </c>
      <c r="DK52" s="7" t="str">
        <f t="shared" si="20"/>
        <v/>
      </c>
      <c r="DM52" s="6">
        <v>32</v>
      </c>
      <c r="DN52" s="36"/>
      <c r="DO52" s="36"/>
      <c r="DP52" s="34"/>
      <c r="DQ52" s="32"/>
      <c r="DR52" s="148" t="str">
        <f t="shared" si="21"/>
        <v/>
      </c>
      <c r="DS52" s="148"/>
      <c r="DT52" s="98" t="str">
        <f t="shared" si="22"/>
        <v/>
      </c>
      <c r="DU52" s="7" t="str">
        <f t="shared" si="23"/>
        <v/>
      </c>
    </row>
    <row r="53" spans="7:125" x14ac:dyDescent="0.2">
      <c r="G53" s="6">
        <v>33</v>
      </c>
      <c r="H53" s="36"/>
      <c r="I53" s="36"/>
      <c r="J53" s="34"/>
      <c r="K53" s="32"/>
      <c r="L53" s="148" t="str">
        <f t="shared" si="52"/>
        <v/>
      </c>
      <c r="M53" s="148"/>
      <c r="N53" s="98" t="str">
        <f t="shared" si="0"/>
        <v/>
      </c>
      <c r="O53" s="7" t="str">
        <f t="shared" si="59"/>
        <v/>
      </c>
      <c r="Q53" s="6">
        <v>33</v>
      </c>
      <c r="R53" s="36"/>
      <c r="S53" s="36"/>
      <c r="T53" s="34"/>
      <c r="U53" s="32"/>
      <c r="V53" s="148" t="str">
        <f t="shared" si="45"/>
        <v/>
      </c>
      <c r="W53" s="148"/>
      <c r="X53" s="98" t="str">
        <f t="shared" si="1"/>
        <v/>
      </c>
      <c r="Y53" s="7" t="str">
        <f t="shared" si="46"/>
        <v/>
      </c>
      <c r="AA53" s="6">
        <v>33</v>
      </c>
      <c r="AB53" s="36"/>
      <c r="AC53" s="36"/>
      <c r="AD53" s="34"/>
      <c r="AE53" s="32"/>
      <c r="AF53" s="148" t="str">
        <f t="shared" si="60"/>
        <v/>
      </c>
      <c r="AG53" s="148"/>
      <c r="AH53" s="98" t="str">
        <f t="shared" si="8"/>
        <v/>
      </c>
      <c r="AI53" s="7" t="str">
        <f t="shared" si="53"/>
        <v/>
      </c>
      <c r="AK53" s="6">
        <v>33</v>
      </c>
      <c r="AL53" s="36"/>
      <c r="AM53" s="36"/>
      <c r="AN53" s="34"/>
      <c r="AO53" s="32"/>
      <c r="AP53" s="148" t="str">
        <f t="shared" si="47"/>
        <v/>
      </c>
      <c r="AQ53" s="148"/>
      <c r="AR53" s="98" t="str">
        <f t="shared" si="9"/>
        <v/>
      </c>
      <c r="AS53" s="7" t="str">
        <f t="shared" si="54"/>
        <v/>
      </c>
      <c r="AU53" s="6">
        <v>33</v>
      </c>
      <c r="AV53" s="36"/>
      <c r="AW53" s="36"/>
      <c r="AX53" s="34"/>
      <c r="AY53" s="32"/>
      <c r="AZ53" s="148" t="str">
        <f t="shared" si="55"/>
        <v/>
      </c>
      <c r="BA53" s="148"/>
      <c r="BB53" s="98" t="str">
        <f t="shared" si="10"/>
        <v/>
      </c>
      <c r="BC53" s="7" t="str">
        <f t="shared" si="56"/>
        <v/>
      </c>
      <c r="BE53" s="6">
        <v>33</v>
      </c>
      <c r="BF53" s="36"/>
      <c r="BG53" s="36"/>
      <c r="BH53" s="34"/>
      <c r="BI53" s="32"/>
      <c r="BJ53" s="148" t="str">
        <f t="shared" si="62"/>
        <v/>
      </c>
      <c r="BK53" s="148"/>
      <c r="BL53" s="98" t="str">
        <f t="shared" si="11"/>
        <v/>
      </c>
      <c r="BM53" s="7" t="str">
        <f t="shared" si="61"/>
        <v/>
      </c>
      <c r="BO53" s="6">
        <v>33</v>
      </c>
      <c r="BP53" s="36"/>
      <c r="BQ53" s="36"/>
      <c r="BR53" s="34"/>
      <c r="BS53" s="32"/>
      <c r="BT53" s="148" t="str">
        <f t="shared" si="48"/>
        <v/>
      </c>
      <c r="BU53" s="148"/>
      <c r="BV53" s="98" t="str">
        <f t="shared" si="12"/>
        <v/>
      </c>
      <c r="BW53" s="7" t="str">
        <f t="shared" si="49"/>
        <v/>
      </c>
      <c r="BY53" s="6">
        <v>33</v>
      </c>
      <c r="BZ53" s="36"/>
      <c r="CA53" s="36"/>
      <c r="CB53" s="34"/>
      <c r="CC53" s="32"/>
      <c r="CD53" s="148" t="str">
        <f t="shared" si="50"/>
        <v/>
      </c>
      <c r="CE53" s="148"/>
      <c r="CF53" s="98" t="str">
        <f t="shared" si="13"/>
        <v/>
      </c>
      <c r="CG53" s="7" t="str">
        <f t="shared" si="51"/>
        <v/>
      </c>
      <c r="CI53" s="6">
        <v>33</v>
      </c>
      <c r="CJ53" s="36"/>
      <c r="CK53" s="36"/>
      <c r="CL53" s="34"/>
      <c r="CM53" s="32"/>
      <c r="CN53" s="148" t="str">
        <f t="shared" si="57"/>
        <v/>
      </c>
      <c r="CO53" s="148"/>
      <c r="CP53" s="98" t="str">
        <f t="shared" si="44"/>
        <v/>
      </c>
      <c r="CQ53" s="7" t="str">
        <f t="shared" si="58"/>
        <v/>
      </c>
      <c r="CS53" s="6">
        <v>33</v>
      </c>
      <c r="CT53" s="36"/>
      <c r="CU53" s="36"/>
      <c r="CV53" s="34"/>
      <c r="CW53" s="32"/>
      <c r="CX53" s="148" t="str">
        <f t="shared" si="15"/>
        <v/>
      </c>
      <c r="CY53" s="148"/>
      <c r="CZ53" s="98" t="str">
        <f t="shared" si="16"/>
        <v/>
      </c>
      <c r="DA53" s="7" t="str">
        <f t="shared" si="17"/>
        <v/>
      </c>
      <c r="DC53" s="6">
        <v>33</v>
      </c>
      <c r="DD53" s="36"/>
      <c r="DE53" s="36"/>
      <c r="DF53" s="34"/>
      <c r="DG53" s="32"/>
      <c r="DH53" s="148" t="str">
        <f t="shared" si="18"/>
        <v/>
      </c>
      <c r="DI53" s="148"/>
      <c r="DJ53" s="98" t="str">
        <f t="shared" si="19"/>
        <v/>
      </c>
      <c r="DK53" s="7" t="str">
        <f t="shared" si="20"/>
        <v/>
      </c>
      <c r="DM53" s="6">
        <v>33</v>
      </c>
      <c r="DN53" s="36"/>
      <c r="DO53" s="36"/>
      <c r="DP53" s="34"/>
      <c r="DQ53" s="32"/>
      <c r="DR53" s="148" t="str">
        <f t="shared" si="21"/>
        <v/>
      </c>
      <c r="DS53" s="148"/>
      <c r="DT53" s="98" t="str">
        <f t="shared" si="22"/>
        <v/>
      </c>
      <c r="DU53" s="7" t="str">
        <f t="shared" si="23"/>
        <v/>
      </c>
    </row>
    <row r="54" spans="7:125" x14ac:dyDescent="0.2">
      <c r="G54" s="6">
        <v>34</v>
      </c>
      <c r="H54" s="36"/>
      <c r="I54" s="36"/>
      <c r="J54" s="34"/>
      <c r="K54" s="32"/>
      <c r="L54" s="148" t="str">
        <f t="shared" si="52"/>
        <v/>
      </c>
      <c r="M54" s="148"/>
      <c r="N54" s="98" t="str">
        <f t="shared" si="0"/>
        <v/>
      </c>
      <c r="O54" s="7" t="str">
        <f t="shared" si="59"/>
        <v/>
      </c>
      <c r="Q54" s="6">
        <v>34</v>
      </c>
      <c r="R54" s="36"/>
      <c r="S54" s="36"/>
      <c r="T54" s="34"/>
      <c r="U54" s="32"/>
      <c r="V54" s="148" t="str">
        <f t="shared" si="45"/>
        <v/>
      </c>
      <c r="W54" s="148"/>
      <c r="X54" s="98" t="str">
        <f t="shared" si="1"/>
        <v/>
      </c>
      <c r="Y54" s="7" t="str">
        <f t="shared" si="46"/>
        <v/>
      </c>
      <c r="AA54" s="6">
        <v>34</v>
      </c>
      <c r="AB54" s="36"/>
      <c r="AC54" s="36"/>
      <c r="AD54" s="34"/>
      <c r="AE54" s="32"/>
      <c r="AF54" s="148" t="str">
        <f t="shared" si="60"/>
        <v/>
      </c>
      <c r="AG54" s="148"/>
      <c r="AH54" s="98" t="str">
        <f t="shared" si="8"/>
        <v/>
      </c>
      <c r="AI54" s="7" t="str">
        <f t="shared" si="53"/>
        <v/>
      </c>
      <c r="AK54" s="6">
        <v>34</v>
      </c>
      <c r="AL54" s="36"/>
      <c r="AM54" s="36"/>
      <c r="AN54" s="34"/>
      <c r="AO54" s="32"/>
      <c r="AP54" s="148" t="str">
        <f t="shared" si="47"/>
        <v/>
      </c>
      <c r="AQ54" s="148"/>
      <c r="AR54" s="98" t="str">
        <f t="shared" si="9"/>
        <v/>
      </c>
      <c r="AS54" s="7" t="str">
        <f t="shared" si="54"/>
        <v/>
      </c>
      <c r="AU54" s="6">
        <v>34</v>
      </c>
      <c r="AV54" s="36"/>
      <c r="AW54" s="36"/>
      <c r="AX54" s="34"/>
      <c r="AY54" s="32"/>
      <c r="AZ54" s="148" t="str">
        <f t="shared" si="55"/>
        <v/>
      </c>
      <c r="BA54" s="148"/>
      <c r="BB54" s="98" t="str">
        <f t="shared" si="10"/>
        <v/>
      </c>
      <c r="BC54" s="7" t="str">
        <f t="shared" si="56"/>
        <v/>
      </c>
      <c r="BE54" s="6">
        <v>34</v>
      </c>
      <c r="BF54" s="36"/>
      <c r="BG54" s="36"/>
      <c r="BH54" s="34"/>
      <c r="BI54" s="32"/>
      <c r="BJ54" s="148" t="str">
        <f t="shared" si="62"/>
        <v/>
      </c>
      <c r="BK54" s="148"/>
      <c r="BL54" s="98" t="str">
        <f t="shared" si="11"/>
        <v/>
      </c>
      <c r="BM54" s="7" t="str">
        <f t="shared" si="61"/>
        <v/>
      </c>
      <c r="BO54" s="6">
        <v>34</v>
      </c>
      <c r="BP54" s="36"/>
      <c r="BQ54" s="36"/>
      <c r="BR54" s="34"/>
      <c r="BS54" s="32"/>
      <c r="BT54" s="148" t="str">
        <f t="shared" si="48"/>
        <v/>
      </c>
      <c r="BU54" s="148"/>
      <c r="BV54" s="98" t="str">
        <f t="shared" si="12"/>
        <v/>
      </c>
      <c r="BW54" s="7" t="str">
        <f t="shared" si="49"/>
        <v/>
      </c>
      <c r="BY54" s="6">
        <v>34</v>
      </c>
      <c r="BZ54" s="36"/>
      <c r="CA54" s="36"/>
      <c r="CB54" s="34"/>
      <c r="CC54" s="32"/>
      <c r="CD54" s="148" t="str">
        <f t="shared" si="50"/>
        <v/>
      </c>
      <c r="CE54" s="148"/>
      <c r="CF54" s="98" t="str">
        <f t="shared" si="13"/>
        <v/>
      </c>
      <c r="CG54" s="7" t="str">
        <f t="shared" si="51"/>
        <v/>
      </c>
      <c r="CI54" s="6">
        <v>34</v>
      </c>
      <c r="CJ54" s="36"/>
      <c r="CK54" s="36"/>
      <c r="CL54" s="34"/>
      <c r="CM54" s="32"/>
      <c r="CN54" s="148" t="str">
        <f t="shared" si="57"/>
        <v/>
      </c>
      <c r="CO54" s="148"/>
      <c r="CP54" s="98" t="str">
        <f t="shared" si="44"/>
        <v/>
      </c>
      <c r="CQ54" s="7" t="str">
        <f t="shared" si="58"/>
        <v/>
      </c>
      <c r="CS54" s="6">
        <v>34</v>
      </c>
      <c r="CT54" s="36"/>
      <c r="CU54" s="36"/>
      <c r="CV54" s="34"/>
      <c r="CW54" s="32"/>
      <c r="CX54" s="148" t="str">
        <f t="shared" si="15"/>
        <v/>
      </c>
      <c r="CY54" s="148"/>
      <c r="CZ54" s="98" t="str">
        <f t="shared" si="16"/>
        <v/>
      </c>
      <c r="DA54" s="7" t="str">
        <f t="shared" si="17"/>
        <v/>
      </c>
      <c r="DC54" s="6">
        <v>34</v>
      </c>
      <c r="DD54" s="36"/>
      <c r="DE54" s="36"/>
      <c r="DF54" s="34"/>
      <c r="DG54" s="32"/>
      <c r="DH54" s="148" t="str">
        <f t="shared" si="18"/>
        <v/>
      </c>
      <c r="DI54" s="148"/>
      <c r="DJ54" s="98" t="str">
        <f t="shared" si="19"/>
        <v/>
      </c>
      <c r="DK54" s="7" t="str">
        <f t="shared" si="20"/>
        <v/>
      </c>
      <c r="DM54" s="6">
        <v>34</v>
      </c>
      <c r="DN54" s="36"/>
      <c r="DO54" s="36"/>
      <c r="DP54" s="34"/>
      <c r="DQ54" s="32"/>
      <c r="DR54" s="148" t="str">
        <f t="shared" si="21"/>
        <v/>
      </c>
      <c r="DS54" s="148"/>
      <c r="DT54" s="98" t="str">
        <f t="shared" si="22"/>
        <v/>
      </c>
      <c r="DU54" s="7" t="str">
        <f t="shared" si="23"/>
        <v/>
      </c>
    </row>
    <row r="55" spans="7:125" x14ac:dyDescent="0.2">
      <c r="G55" s="6">
        <v>35</v>
      </c>
      <c r="H55" s="36"/>
      <c r="I55" s="36"/>
      <c r="J55" s="34"/>
      <c r="K55" s="32"/>
      <c r="L55" s="148" t="str">
        <f t="shared" si="52"/>
        <v/>
      </c>
      <c r="M55" s="148"/>
      <c r="N55" s="98" t="str">
        <f t="shared" si="0"/>
        <v/>
      </c>
      <c r="O55" s="7" t="str">
        <f t="shared" si="59"/>
        <v/>
      </c>
      <c r="Q55" s="6">
        <v>35</v>
      </c>
      <c r="R55" s="36"/>
      <c r="S55" s="36"/>
      <c r="T55" s="34"/>
      <c r="U55" s="32"/>
      <c r="V55" s="148" t="str">
        <f t="shared" si="45"/>
        <v/>
      </c>
      <c r="W55" s="148"/>
      <c r="X55" s="98" t="str">
        <f t="shared" si="1"/>
        <v/>
      </c>
      <c r="Y55" s="7" t="str">
        <f t="shared" si="46"/>
        <v/>
      </c>
      <c r="AA55" s="6">
        <v>35</v>
      </c>
      <c r="AB55" s="36"/>
      <c r="AC55" s="36"/>
      <c r="AD55" s="34"/>
      <c r="AE55" s="32"/>
      <c r="AF55" s="148" t="str">
        <f t="shared" si="60"/>
        <v/>
      </c>
      <c r="AG55" s="148"/>
      <c r="AH55" s="98" t="str">
        <f t="shared" si="8"/>
        <v/>
      </c>
      <c r="AI55" s="7" t="str">
        <f t="shared" si="53"/>
        <v/>
      </c>
      <c r="AK55" s="6">
        <v>35</v>
      </c>
      <c r="AL55" s="36"/>
      <c r="AM55" s="36"/>
      <c r="AN55" s="34"/>
      <c r="AO55" s="32"/>
      <c r="AP55" s="148" t="str">
        <f t="shared" si="47"/>
        <v/>
      </c>
      <c r="AQ55" s="148"/>
      <c r="AR55" s="98" t="str">
        <f t="shared" si="9"/>
        <v/>
      </c>
      <c r="AS55" s="7" t="str">
        <f t="shared" si="54"/>
        <v/>
      </c>
      <c r="AU55" s="6">
        <v>35</v>
      </c>
      <c r="AV55" s="36"/>
      <c r="AW55" s="36"/>
      <c r="AX55" s="34"/>
      <c r="AY55" s="32"/>
      <c r="AZ55" s="148" t="str">
        <f t="shared" si="55"/>
        <v/>
      </c>
      <c r="BA55" s="148"/>
      <c r="BB55" s="98" t="str">
        <f t="shared" si="10"/>
        <v/>
      </c>
      <c r="BC55" s="7" t="str">
        <f t="shared" si="56"/>
        <v/>
      </c>
      <c r="BE55" s="6">
        <v>35</v>
      </c>
      <c r="BF55" s="36"/>
      <c r="BG55" s="36"/>
      <c r="BH55" s="34"/>
      <c r="BI55" s="32"/>
      <c r="BJ55" s="148" t="str">
        <f t="shared" si="62"/>
        <v/>
      </c>
      <c r="BK55" s="148"/>
      <c r="BL55" s="98" t="str">
        <f t="shared" si="11"/>
        <v/>
      </c>
      <c r="BM55" s="7" t="str">
        <f t="shared" si="61"/>
        <v/>
      </c>
      <c r="BO55" s="6">
        <v>35</v>
      </c>
      <c r="BP55" s="36"/>
      <c r="BQ55" s="36"/>
      <c r="BR55" s="34"/>
      <c r="BS55" s="32"/>
      <c r="BT55" s="148" t="str">
        <f t="shared" si="48"/>
        <v/>
      </c>
      <c r="BU55" s="148"/>
      <c r="BV55" s="98" t="str">
        <f t="shared" si="12"/>
        <v/>
      </c>
      <c r="BW55" s="7" t="str">
        <f t="shared" si="49"/>
        <v/>
      </c>
      <c r="BY55" s="6">
        <v>35</v>
      </c>
      <c r="BZ55" s="36"/>
      <c r="CA55" s="36"/>
      <c r="CB55" s="34"/>
      <c r="CC55" s="32"/>
      <c r="CD55" s="148" t="str">
        <f t="shared" si="50"/>
        <v/>
      </c>
      <c r="CE55" s="148"/>
      <c r="CF55" s="98" t="str">
        <f t="shared" si="13"/>
        <v/>
      </c>
      <c r="CG55" s="7" t="str">
        <f t="shared" si="51"/>
        <v/>
      </c>
      <c r="CI55" s="6">
        <v>35</v>
      </c>
      <c r="CJ55" s="36"/>
      <c r="CK55" s="36"/>
      <c r="CL55" s="34"/>
      <c r="CM55" s="32"/>
      <c r="CN55" s="148" t="str">
        <f t="shared" si="57"/>
        <v/>
      </c>
      <c r="CO55" s="148"/>
      <c r="CP55" s="98" t="str">
        <f t="shared" si="44"/>
        <v/>
      </c>
      <c r="CQ55" s="7" t="str">
        <f t="shared" si="58"/>
        <v/>
      </c>
      <c r="CS55" s="6">
        <v>35</v>
      </c>
      <c r="CT55" s="36"/>
      <c r="CU55" s="36"/>
      <c r="CV55" s="34"/>
      <c r="CW55" s="32"/>
      <c r="CX55" s="148" t="str">
        <f t="shared" si="15"/>
        <v/>
      </c>
      <c r="CY55" s="148"/>
      <c r="CZ55" s="98" t="str">
        <f t="shared" si="16"/>
        <v/>
      </c>
      <c r="DA55" s="7" t="str">
        <f t="shared" si="17"/>
        <v/>
      </c>
      <c r="DC55" s="6">
        <v>35</v>
      </c>
      <c r="DD55" s="36"/>
      <c r="DE55" s="36"/>
      <c r="DF55" s="34"/>
      <c r="DG55" s="32"/>
      <c r="DH55" s="148" t="str">
        <f t="shared" si="18"/>
        <v/>
      </c>
      <c r="DI55" s="148"/>
      <c r="DJ55" s="98" t="str">
        <f t="shared" si="19"/>
        <v/>
      </c>
      <c r="DK55" s="7" t="str">
        <f t="shared" si="20"/>
        <v/>
      </c>
      <c r="DM55" s="6">
        <v>35</v>
      </c>
      <c r="DN55" s="36"/>
      <c r="DO55" s="36"/>
      <c r="DP55" s="34"/>
      <c r="DQ55" s="32"/>
      <c r="DR55" s="148" t="str">
        <f t="shared" si="21"/>
        <v/>
      </c>
      <c r="DS55" s="148"/>
      <c r="DT55" s="98" t="str">
        <f t="shared" si="22"/>
        <v/>
      </c>
      <c r="DU55" s="7" t="str">
        <f t="shared" si="23"/>
        <v/>
      </c>
    </row>
    <row r="56" spans="7:125" x14ac:dyDescent="0.2">
      <c r="G56" s="6">
        <v>36</v>
      </c>
      <c r="H56" s="36"/>
      <c r="I56" s="36"/>
      <c r="J56" s="34"/>
      <c r="K56" s="32"/>
      <c r="L56" s="148" t="str">
        <f t="shared" si="52"/>
        <v/>
      </c>
      <c r="M56" s="148"/>
      <c r="N56" s="98" t="str">
        <f t="shared" si="0"/>
        <v/>
      </c>
      <c r="O56" s="7" t="str">
        <f t="shared" si="59"/>
        <v/>
      </c>
      <c r="Q56" s="6">
        <v>36</v>
      </c>
      <c r="R56" s="36"/>
      <c r="S56" s="36"/>
      <c r="T56" s="34"/>
      <c r="U56" s="32"/>
      <c r="V56" s="148" t="str">
        <f t="shared" si="45"/>
        <v/>
      </c>
      <c r="W56" s="148"/>
      <c r="X56" s="98" t="str">
        <f t="shared" si="1"/>
        <v/>
      </c>
      <c r="Y56" s="7" t="str">
        <f t="shared" si="46"/>
        <v/>
      </c>
      <c r="AA56" s="6">
        <v>36</v>
      </c>
      <c r="AB56" s="36"/>
      <c r="AC56" s="36"/>
      <c r="AD56" s="34"/>
      <c r="AE56" s="32"/>
      <c r="AF56" s="148" t="str">
        <f t="shared" si="60"/>
        <v/>
      </c>
      <c r="AG56" s="148"/>
      <c r="AH56" s="98" t="str">
        <f t="shared" si="8"/>
        <v/>
      </c>
      <c r="AI56" s="7" t="str">
        <f t="shared" si="53"/>
        <v/>
      </c>
      <c r="AK56" s="6">
        <v>36</v>
      </c>
      <c r="AL56" s="36"/>
      <c r="AM56" s="36"/>
      <c r="AN56" s="34"/>
      <c r="AO56" s="32"/>
      <c r="AP56" s="148" t="str">
        <f t="shared" si="47"/>
        <v/>
      </c>
      <c r="AQ56" s="148"/>
      <c r="AR56" s="98" t="str">
        <f t="shared" si="9"/>
        <v/>
      </c>
      <c r="AS56" s="7" t="str">
        <f t="shared" si="54"/>
        <v/>
      </c>
      <c r="AU56" s="6">
        <v>36</v>
      </c>
      <c r="AV56" s="36"/>
      <c r="AW56" s="36"/>
      <c r="AX56" s="34"/>
      <c r="AY56" s="32"/>
      <c r="AZ56" s="148" t="str">
        <f t="shared" si="55"/>
        <v/>
      </c>
      <c r="BA56" s="148"/>
      <c r="BB56" s="98" t="str">
        <f t="shared" si="10"/>
        <v/>
      </c>
      <c r="BC56" s="7" t="str">
        <f t="shared" si="56"/>
        <v/>
      </c>
      <c r="BE56" s="6">
        <v>36</v>
      </c>
      <c r="BF56" s="36"/>
      <c r="BG56" s="36"/>
      <c r="BH56" s="34"/>
      <c r="BI56" s="32"/>
      <c r="BJ56" s="148" t="str">
        <f t="shared" si="62"/>
        <v/>
      </c>
      <c r="BK56" s="148"/>
      <c r="BL56" s="98" t="str">
        <f t="shared" si="11"/>
        <v/>
      </c>
      <c r="BM56" s="7" t="str">
        <f t="shared" si="61"/>
        <v/>
      </c>
      <c r="BO56" s="6">
        <v>36</v>
      </c>
      <c r="BP56" s="36"/>
      <c r="BQ56" s="36"/>
      <c r="BR56" s="34"/>
      <c r="BS56" s="32"/>
      <c r="BT56" s="148" t="str">
        <f t="shared" si="48"/>
        <v/>
      </c>
      <c r="BU56" s="148"/>
      <c r="BV56" s="98" t="str">
        <f t="shared" si="12"/>
        <v/>
      </c>
      <c r="BW56" s="7" t="str">
        <f t="shared" si="49"/>
        <v/>
      </c>
      <c r="BY56" s="6">
        <v>36</v>
      </c>
      <c r="BZ56" s="36"/>
      <c r="CA56" s="36"/>
      <c r="CB56" s="34"/>
      <c r="CC56" s="32"/>
      <c r="CD56" s="148" t="str">
        <f t="shared" si="50"/>
        <v/>
      </c>
      <c r="CE56" s="148"/>
      <c r="CF56" s="98" t="str">
        <f t="shared" si="13"/>
        <v/>
      </c>
      <c r="CG56" s="7" t="str">
        <f t="shared" si="51"/>
        <v/>
      </c>
      <c r="CI56" s="6">
        <v>36</v>
      </c>
      <c r="CJ56" s="36"/>
      <c r="CK56" s="36"/>
      <c r="CL56" s="34"/>
      <c r="CM56" s="32"/>
      <c r="CN56" s="148" t="str">
        <f t="shared" si="57"/>
        <v/>
      </c>
      <c r="CO56" s="148"/>
      <c r="CP56" s="98" t="str">
        <f t="shared" si="44"/>
        <v/>
      </c>
      <c r="CQ56" s="7" t="str">
        <f t="shared" si="58"/>
        <v/>
      </c>
      <c r="CS56" s="6">
        <v>36</v>
      </c>
      <c r="CT56" s="36"/>
      <c r="CU56" s="36"/>
      <c r="CV56" s="34"/>
      <c r="CW56" s="32"/>
      <c r="CX56" s="148" t="str">
        <f t="shared" si="15"/>
        <v/>
      </c>
      <c r="CY56" s="148"/>
      <c r="CZ56" s="98" t="str">
        <f t="shared" si="16"/>
        <v/>
      </c>
      <c r="DA56" s="7" t="str">
        <f t="shared" si="17"/>
        <v/>
      </c>
      <c r="DC56" s="6">
        <v>36</v>
      </c>
      <c r="DD56" s="36"/>
      <c r="DE56" s="36"/>
      <c r="DF56" s="34"/>
      <c r="DG56" s="32"/>
      <c r="DH56" s="148" t="str">
        <f t="shared" si="18"/>
        <v/>
      </c>
      <c r="DI56" s="148"/>
      <c r="DJ56" s="98" t="str">
        <f t="shared" si="19"/>
        <v/>
      </c>
      <c r="DK56" s="7" t="str">
        <f t="shared" si="20"/>
        <v/>
      </c>
      <c r="DM56" s="6">
        <v>36</v>
      </c>
      <c r="DN56" s="36"/>
      <c r="DO56" s="36"/>
      <c r="DP56" s="34"/>
      <c r="DQ56" s="32"/>
      <c r="DR56" s="148" t="str">
        <f t="shared" si="21"/>
        <v/>
      </c>
      <c r="DS56" s="148"/>
      <c r="DT56" s="98" t="str">
        <f t="shared" si="22"/>
        <v/>
      </c>
      <c r="DU56" s="7" t="str">
        <f t="shared" si="23"/>
        <v/>
      </c>
    </row>
    <row r="57" spans="7:125" x14ac:dyDescent="0.2">
      <c r="G57" s="6">
        <v>37</v>
      </c>
      <c r="H57" s="36"/>
      <c r="I57" s="36"/>
      <c r="J57" s="34"/>
      <c r="K57" s="32"/>
      <c r="L57" s="148" t="str">
        <f t="shared" si="52"/>
        <v/>
      </c>
      <c r="M57" s="148"/>
      <c r="N57" s="98" t="str">
        <f t="shared" si="0"/>
        <v/>
      </c>
      <c r="O57" s="7" t="str">
        <f t="shared" si="59"/>
        <v/>
      </c>
      <c r="Q57" s="6">
        <v>37</v>
      </c>
      <c r="R57" s="36"/>
      <c r="S57" s="36"/>
      <c r="T57" s="34"/>
      <c r="U57" s="32"/>
      <c r="V57" s="148" t="str">
        <f t="shared" si="45"/>
        <v/>
      </c>
      <c r="W57" s="148"/>
      <c r="X57" s="98" t="str">
        <f t="shared" si="1"/>
        <v/>
      </c>
      <c r="Y57" s="7" t="str">
        <f t="shared" si="46"/>
        <v/>
      </c>
      <c r="AA57" s="6">
        <v>37</v>
      </c>
      <c r="AB57" s="36"/>
      <c r="AC57" s="36"/>
      <c r="AD57" s="34"/>
      <c r="AE57" s="32"/>
      <c r="AF57" s="148" t="str">
        <f t="shared" si="60"/>
        <v/>
      </c>
      <c r="AG57" s="148"/>
      <c r="AH57" s="98" t="str">
        <f t="shared" si="8"/>
        <v/>
      </c>
      <c r="AI57" s="7" t="str">
        <f t="shared" si="53"/>
        <v/>
      </c>
      <c r="AK57" s="6">
        <v>37</v>
      </c>
      <c r="AL57" s="36"/>
      <c r="AM57" s="36"/>
      <c r="AN57" s="34"/>
      <c r="AO57" s="32"/>
      <c r="AP57" s="148" t="str">
        <f t="shared" si="47"/>
        <v/>
      </c>
      <c r="AQ57" s="148"/>
      <c r="AR57" s="98" t="str">
        <f t="shared" si="9"/>
        <v/>
      </c>
      <c r="AS57" s="7" t="str">
        <f t="shared" si="54"/>
        <v/>
      </c>
      <c r="AU57" s="6">
        <v>37</v>
      </c>
      <c r="AV57" s="36"/>
      <c r="AW57" s="36"/>
      <c r="AX57" s="34"/>
      <c r="AY57" s="32"/>
      <c r="AZ57" s="148" t="str">
        <f t="shared" si="55"/>
        <v/>
      </c>
      <c r="BA57" s="148"/>
      <c r="BB57" s="98" t="str">
        <f t="shared" si="10"/>
        <v/>
      </c>
      <c r="BC57" s="7" t="str">
        <f t="shared" si="56"/>
        <v/>
      </c>
      <c r="BE57" s="6">
        <v>37</v>
      </c>
      <c r="BF57" s="36"/>
      <c r="BG57" s="36"/>
      <c r="BH57" s="34"/>
      <c r="BI57" s="32"/>
      <c r="BJ57" s="148" t="str">
        <f t="shared" si="62"/>
        <v/>
      </c>
      <c r="BK57" s="148"/>
      <c r="BL57" s="98" t="str">
        <f t="shared" si="11"/>
        <v/>
      </c>
      <c r="BM57" s="7" t="str">
        <f t="shared" si="61"/>
        <v/>
      </c>
      <c r="BO57" s="6">
        <v>37</v>
      </c>
      <c r="BP57" s="36"/>
      <c r="BQ57" s="36"/>
      <c r="BR57" s="34"/>
      <c r="BS57" s="32"/>
      <c r="BT57" s="148" t="str">
        <f t="shared" si="48"/>
        <v/>
      </c>
      <c r="BU57" s="148"/>
      <c r="BV57" s="98" t="str">
        <f t="shared" si="12"/>
        <v/>
      </c>
      <c r="BW57" s="7" t="str">
        <f t="shared" si="49"/>
        <v/>
      </c>
      <c r="BY57" s="6">
        <v>37</v>
      </c>
      <c r="BZ57" s="36"/>
      <c r="CA57" s="36"/>
      <c r="CB57" s="34"/>
      <c r="CC57" s="32"/>
      <c r="CD57" s="148" t="str">
        <f t="shared" si="50"/>
        <v/>
      </c>
      <c r="CE57" s="148"/>
      <c r="CF57" s="98" t="str">
        <f t="shared" si="13"/>
        <v/>
      </c>
      <c r="CG57" s="7" t="str">
        <f t="shared" si="51"/>
        <v/>
      </c>
      <c r="CI57" s="6">
        <v>37</v>
      </c>
      <c r="CJ57" s="36"/>
      <c r="CK57" s="36"/>
      <c r="CL57" s="34"/>
      <c r="CM57" s="32"/>
      <c r="CN57" s="148" t="str">
        <f t="shared" si="57"/>
        <v/>
      </c>
      <c r="CO57" s="148"/>
      <c r="CP57" s="98" t="str">
        <f t="shared" si="44"/>
        <v/>
      </c>
      <c r="CQ57" s="7" t="str">
        <f t="shared" si="58"/>
        <v/>
      </c>
      <c r="CS57" s="6">
        <v>37</v>
      </c>
      <c r="CT57" s="36"/>
      <c r="CU57" s="36"/>
      <c r="CV57" s="34"/>
      <c r="CW57" s="32"/>
      <c r="CX57" s="148" t="str">
        <f t="shared" si="15"/>
        <v/>
      </c>
      <c r="CY57" s="148"/>
      <c r="CZ57" s="98" t="str">
        <f t="shared" si="16"/>
        <v/>
      </c>
      <c r="DA57" s="7" t="str">
        <f t="shared" si="17"/>
        <v/>
      </c>
      <c r="DC57" s="6">
        <v>37</v>
      </c>
      <c r="DD57" s="36"/>
      <c r="DE57" s="36"/>
      <c r="DF57" s="34"/>
      <c r="DG57" s="32"/>
      <c r="DH57" s="148" t="str">
        <f t="shared" si="18"/>
        <v/>
      </c>
      <c r="DI57" s="148"/>
      <c r="DJ57" s="98" t="str">
        <f t="shared" si="19"/>
        <v/>
      </c>
      <c r="DK57" s="7" t="str">
        <f t="shared" si="20"/>
        <v/>
      </c>
      <c r="DM57" s="6">
        <v>37</v>
      </c>
      <c r="DN57" s="36"/>
      <c r="DO57" s="36"/>
      <c r="DP57" s="34"/>
      <c r="DQ57" s="32"/>
      <c r="DR57" s="148" t="str">
        <f t="shared" si="21"/>
        <v/>
      </c>
      <c r="DS57" s="148"/>
      <c r="DT57" s="98" t="str">
        <f t="shared" si="22"/>
        <v/>
      </c>
      <c r="DU57" s="7" t="str">
        <f t="shared" si="23"/>
        <v/>
      </c>
    </row>
    <row r="58" spans="7:125" x14ac:dyDescent="0.2">
      <c r="G58" s="6">
        <v>38</v>
      </c>
      <c r="H58" s="36"/>
      <c r="I58" s="36"/>
      <c r="J58" s="34"/>
      <c r="K58" s="32"/>
      <c r="L58" s="148" t="str">
        <f t="shared" si="52"/>
        <v/>
      </c>
      <c r="M58" s="148"/>
      <c r="N58" s="98" t="str">
        <f t="shared" si="0"/>
        <v/>
      </c>
      <c r="O58" s="7" t="str">
        <f t="shared" si="59"/>
        <v/>
      </c>
      <c r="Q58" s="6">
        <v>38</v>
      </c>
      <c r="R58" s="36"/>
      <c r="S58" s="36"/>
      <c r="T58" s="34"/>
      <c r="U58" s="32"/>
      <c r="V58" s="148" t="str">
        <f t="shared" si="45"/>
        <v/>
      </c>
      <c r="W58" s="148"/>
      <c r="X58" s="98" t="str">
        <f t="shared" si="1"/>
        <v/>
      </c>
      <c r="Y58" s="7" t="str">
        <f t="shared" si="46"/>
        <v/>
      </c>
      <c r="AA58" s="6">
        <v>38</v>
      </c>
      <c r="AB58" s="36"/>
      <c r="AC58" s="36"/>
      <c r="AD58" s="34"/>
      <c r="AE58" s="32"/>
      <c r="AF58" s="148" t="str">
        <f t="shared" si="60"/>
        <v/>
      </c>
      <c r="AG58" s="148"/>
      <c r="AH58" s="98" t="str">
        <f t="shared" si="8"/>
        <v/>
      </c>
      <c r="AI58" s="7" t="str">
        <f t="shared" si="53"/>
        <v/>
      </c>
      <c r="AK58" s="6">
        <v>38</v>
      </c>
      <c r="AL58" s="36"/>
      <c r="AM58" s="36"/>
      <c r="AN58" s="34"/>
      <c r="AO58" s="32"/>
      <c r="AP58" s="148" t="str">
        <f t="shared" si="47"/>
        <v/>
      </c>
      <c r="AQ58" s="148"/>
      <c r="AR58" s="98" t="str">
        <f t="shared" si="9"/>
        <v/>
      </c>
      <c r="AS58" s="7" t="str">
        <f t="shared" si="54"/>
        <v/>
      </c>
      <c r="AU58" s="6">
        <v>38</v>
      </c>
      <c r="AV58" s="36"/>
      <c r="AW58" s="36"/>
      <c r="AX58" s="34"/>
      <c r="AY58" s="32"/>
      <c r="AZ58" s="148" t="str">
        <f t="shared" si="55"/>
        <v/>
      </c>
      <c r="BA58" s="148"/>
      <c r="BB58" s="98" t="str">
        <f t="shared" si="10"/>
        <v/>
      </c>
      <c r="BC58" s="7" t="str">
        <f t="shared" si="56"/>
        <v/>
      </c>
      <c r="BE58" s="6">
        <v>38</v>
      </c>
      <c r="BF58" s="36"/>
      <c r="BG58" s="36"/>
      <c r="BH58" s="34"/>
      <c r="BI58" s="32"/>
      <c r="BJ58" s="148" t="str">
        <f t="shared" si="62"/>
        <v/>
      </c>
      <c r="BK58" s="148"/>
      <c r="BL58" s="98" t="str">
        <f t="shared" si="11"/>
        <v/>
      </c>
      <c r="BM58" s="7" t="str">
        <f t="shared" si="61"/>
        <v/>
      </c>
      <c r="BO58" s="6">
        <v>38</v>
      </c>
      <c r="BP58" s="36"/>
      <c r="BQ58" s="36"/>
      <c r="BR58" s="34"/>
      <c r="BS58" s="32"/>
      <c r="BT58" s="148" t="str">
        <f t="shared" si="48"/>
        <v/>
      </c>
      <c r="BU58" s="148"/>
      <c r="BV58" s="98" t="str">
        <f t="shared" si="12"/>
        <v/>
      </c>
      <c r="BW58" s="7" t="str">
        <f t="shared" si="49"/>
        <v/>
      </c>
      <c r="BY58" s="6">
        <v>38</v>
      </c>
      <c r="BZ58" s="36"/>
      <c r="CA58" s="36"/>
      <c r="CB58" s="34"/>
      <c r="CC58" s="32"/>
      <c r="CD58" s="148" t="str">
        <f t="shared" si="50"/>
        <v/>
      </c>
      <c r="CE58" s="148"/>
      <c r="CF58" s="98" t="str">
        <f t="shared" si="13"/>
        <v/>
      </c>
      <c r="CG58" s="7" t="str">
        <f t="shared" si="51"/>
        <v/>
      </c>
      <c r="CI58" s="6">
        <v>38</v>
      </c>
      <c r="CJ58" s="36"/>
      <c r="CK58" s="36"/>
      <c r="CL58" s="34"/>
      <c r="CM58" s="32"/>
      <c r="CN58" s="148" t="str">
        <f t="shared" si="57"/>
        <v/>
      </c>
      <c r="CO58" s="148"/>
      <c r="CP58" s="98" t="str">
        <f t="shared" si="44"/>
        <v/>
      </c>
      <c r="CQ58" s="7" t="str">
        <f t="shared" si="58"/>
        <v/>
      </c>
      <c r="CS58" s="6">
        <v>38</v>
      </c>
      <c r="CT58" s="36"/>
      <c r="CU58" s="36"/>
      <c r="CV58" s="34"/>
      <c r="CW58" s="32"/>
      <c r="CX58" s="148" t="str">
        <f t="shared" si="15"/>
        <v/>
      </c>
      <c r="CY58" s="148"/>
      <c r="CZ58" s="98" t="str">
        <f t="shared" si="16"/>
        <v/>
      </c>
      <c r="DA58" s="7" t="str">
        <f t="shared" si="17"/>
        <v/>
      </c>
      <c r="DC58" s="6">
        <v>38</v>
      </c>
      <c r="DD58" s="36"/>
      <c r="DE58" s="36"/>
      <c r="DF58" s="34"/>
      <c r="DG58" s="32"/>
      <c r="DH58" s="148" t="str">
        <f t="shared" si="18"/>
        <v/>
      </c>
      <c r="DI58" s="148"/>
      <c r="DJ58" s="98" t="str">
        <f t="shared" si="19"/>
        <v/>
      </c>
      <c r="DK58" s="7" t="str">
        <f t="shared" si="20"/>
        <v/>
      </c>
      <c r="DM58" s="6">
        <v>38</v>
      </c>
      <c r="DN58" s="36"/>
      <c r="DO58" s="36"/>
      <c r="DP58" s="34"/>
      <c r="DQ58" s="32"/>
      <c r="DR58" s="148" t="str">
        <f t="shared" si="21"/>
        <v/>
      </c>
      <c r="DS58" s="148"/>
      <c r="DT58" s="98" t="str">
        <f t="shared" si="22"/>
        <v/>
      </c>
      <c r="DU58" s="7" t="str">
        <f t="shared" si="23"/>
        <v/>
      </c>
    </row>
    <row r="59" spans="7:125" x14ac:dyDescent="0.2">
      <c r="G59" s="6">
        <v>39</v>
      </c>
      <c r="H59" s="36"/>
      <c r="I59" s="36"/>
      <c r="J59" s="34"/>
      <c r="K59" s="32"/>
      <c r="L59" s="148" t="str">
        <f t="shared" si="52"/>
        <v/>
      </c>
      <c r="M59" s="148"/>
      <c r="N59" s="98" t="str">
        <f t="shared" si="0"/>
        <v/>
      </c>
      <c r="O59" s="7" t="str">
        <f t="shared" si="59"/>
        <v/>
      </c>
      <c r="Q59" s="6">
        <v>39</v>
      </c>
      <c r="R59" s="36"/>
      <c r="S59" s="36"/>
      <c r="T59" s="34"/>
      <c r="U59" s="32"/>
      <c r="V59" s="148" t="str">
        <f t="shared" si="45"/>
        <v/>
      </c>
      <c r="W59" s="148"/>
      <c r="X59" s="98" t="str">
        <f t="shared" si="1"/>
        <v/>
      </c>
      <c r="Y59" s="7" t="str">
        <f t="shared" si="46"/>
        <v/>
      </c>
      <c r="AA59" s="6">
        <v>39</v>
      </c>
      <c r="AB59" s="36"/>
      <c r="AC59" s="36"/>
      <c r="AD59" s="34"/>
      <c r="AE59" s="32"/>
      <c r="AF59" s="148" t="str">
        <f t="shared" si="60"/>
        <v/>
      </c>
      <c r="AG59" s="148"/>
      <c r="AH59" s="98" t="str">
        <f t="shared" si="8"/>
        <v/>
      </c>
      <c r="AI59" s="7" t="str">
        <f t="shared" si="53"/>
        <v/>
      </c>
      <c r="AK59" s="6">
        <v>39</v>
      </c>
      <c r="AL59" s="36"/>
      <c r="AM59" s="36"/>
      <c r="AN59" s="34"/>
      <c r="AO59" s="32"/>
      <c r="AP59" s="148" t="str">
        <f t="shared" si="47"/>
        <v/>
      </c>
      <c r="AQ59" s="148"/>
      <c r="AR59" s="98" t="str">
        <f t="shared" si="9"/>
        <v/>
      </c>
      <c r="AS59" s="7" t="str">
        <f t="shared" si="54"/>
        <v/>
      </c>
      <c r="AU59" s="6">
        <v>39</v>
      </c>
      <c r="AV59" s="36"/>
      <c r="AW59" s="36"/>
      <c r="AX59" s="34"/>
      <c r="AY59" s="32"/>
      <c r="AZ59" s="148" t="str">
        <f t="shared" si="55"/>
        <v/>
      </c>
      <c r="BA59" s="148"/>
      <c r="BB59" s="98" t="str">
        <f t="shared" si="10"/>
        <v/>
      </c>
      <c r="BC59" s="7" t="str">
        <f t="shared" si="56"/>
        <v/>
      </c>
      <c r="BE59" s="6">
        <v>39</v>
      </c>
      <c r="BF59" s="36"/>
      <c r="BG59" s="36"/>
      <c r="BH59" s="34"/>
      <c r="BI59" s="32"/>
      <c r="BJ59" s="148" t="str">
        <f t="shared" si="62"/>
        <v/>
      </c>
      <c r="BK59" s="148"/>
      <c r="BL59" s="98" t="str">
        <f t="shared" si="11"/>
        <v/>
      </c>
      <c r="BM59" s="7" t="str">
        <f t="shared" si="61"/>
        <v/>
      </c>
      <c r="BO59" s="6">
        <v>39</v>
      </c>
      <c r="BP59" s="36"/>
      <c r="BQ59" s="36"/>
      <c r="BR59" s="34"/>
      <c r="BS59" s="32"/>
      <c r="BT59" s="148" t="str">
        <f t="shared" si="48"/>
        <v/>
      </c>
      <c r="BU59" s="148"/>
      <c r="BV59" s="98" t="str">
        <f t="shared" si="12"/>
        <v/>
      </c>
      <c r="BW59" s="7" t="str">
        <f t="shared" si="49"/>
        <v/>
      </c>
      <c r="BY59" s="6">
        <v>39</v>
      </c>
      <c r="BZ59" s="36"/>
      <c r="CA59" s="36"/>
      <c r="CB59" s="34"/>
      <c r="CC59" s="32"/>
      <c r="CD59" s="148" t="str">
        <f t="shared" si="50"/>
        <v/>
      </c>
      <c r="CE59" s="148"/>
      <c r="CF59" s="98" t="str">
        <f t="shared" si="13"/>
        <v/>
      </c>
      <c r="CG59" s="7" t="str">
        <f t="shared" si="51"/>
        <v/>
      </c>
      <c r="CI59" s="6">
        <v>39</v>
      </c>
      <c r="CJ59" s="36"/>
      <c r="CK59" s="36"/>
      <c r="CL59" s="34"/>
      <c r="CM59" s="32"/>
      <c r="CN59" s="148" t="str">
        <f t="shared" si="57"/>
        <v/>
      </c>
      <c r="CO59" s="148"/>
      <c r="CP59" s="98" t="str">
        <f t="shared" si="44"/>
        <v/>
      </c>
      <c r="CQ59" s="7" t="str">
        <f t="shared" si="58"/>
        <v/>
      </c>
      <c r="CS59" s="6">
        <v>39</v>
      </c>
      <c r="CT59" s="36"/>
      <c r="CU59" s="36"/>
      <c r="CV59" s="34"/>
      <c r="CW59" s="32"/>
      <c r="CX59" s="148" t="str">
        <f t="shared" si="15"/>
        <v/>
      </c>
      <c r="CY59" s="148"/>
      <c r="CZ59" s="98" t="str">
        <f t="shared" si="16"/>
        <v/>
      </c>
      <c r="DA59" s="7" t="str">
        <f t="shared" si="17"/>
        <v/>
      </c>
      <c r="DC59" s="6">
        <v>39</v>
      </c>
      <c r="DD59" s="36"/>
      <c r="DE59" s="36"/>
      <c r="DF59" s="34"/>
      <c r="DG59" s="32"/>
      <c r="DH59" s="148" t="str">
        <f t="shared" si="18"/>
        <v/>
      </c>
      <c r="DI59" s="148"/>
      <c r="DJ59" s="98" t="str">
        <f t="shared" si="19"/>
        <v/>
      </c>
      <c r="DK59" s="7" t="str">
        <f t="shared" si="20"/>
        <v/>
      </c>
      <c r="DM59" s="6">
        <v>39</v>
      </c>
      <c r="DN59" s="36"/>
      <c r="DO59" s="36"/>
      <c r="DP59" s="34"/>
      <c r="DQ59" s="32"/>
      <c r="DR59" s="148" t="str">
        <f t="shared" si="21"/>
        <v/>
      </c>
      <c r="DS59" s="148"/>
      <c r="DT59" s="98" t="str">
        <f t="shared" si="22"/>
        <v/>
      </c>
      <c r="DU59" s="7" t="str">
        <f t="shared" si="23"/>
        <v/>
      </c>
    </row>
    <row r="60" spans="7:125" x14ac:dyDescent="0.2">
      <c r="G60" s="105">
        <v>40</v>
      </c>
      <c r="H60" s="95"/>
      <c r="I60" s="95"/>
      <c r="J60" s="35"/>
      <c r="K60" s="33"/>
      <c r="L60" s="149" t="str">
        <f t="shared" si="52"/>
        <v/>
      </c>
      <c r="M60" s="149"/>
      <c r="N60" s="100" t="str">
        <f t="shared" si="0"/>
        <v/>
      </c>
      <c r="O60" s="8" t="str">
        <f t="shared" si="59"/>
        <v/>
      </c>
      <c r="Q60" s="105">
        <v>40</v>
      </c>
      <c r="R60" s="95"/>
      <c r="S60" s="95"/>
      <c r="T60" s="35"/>
      <c r="U60" s="33"/>
      <c r="V60" s="149" t="str">
        <f t="shared" si="45"/>
        <v/>
      </c>
      <c r="W60" s="149"/>
      <c r="X60" s="100" t="str">
        <f t="shared" si="1"/>
        <v/>
      </c>
      <c r="Y60" s="8" t="str">
        <f t="shared" si="46"/>
        <v/>
      </c>
      <c r="AA60" s="105">
        <v>40</v>
      </c>
      <c r="AB60" s="95"/>
      <c r="AC60" s="95"/>
      <c r="AD60" s="35"/>
      <c r="AE60" s="33"/>
      <c r="AF60" s="149" t="str">
        <f t="shared" si="60"/>
        <v/>
      </c>
      <c r="AG60" s="149"/>
      <c r="AH60" s="100" t="str">
        <f t="shared" si="8"/>
        <v/>
      </c>
      <c r="AI60" s="8" t="str">
        <f t="shared" si="53"/>
        <v/>
      </c>
      <c r="AK60" s="105">
        <v>40</v>
      </c>
      <c r="AL60" s="95"/>
      <c r="AM60" s="95"/>
      <c r="AN60" s="35"/>
      <c r="AO60" s="33"/>
      <c r="AP60" s="149" t="str">
        <f t="shared" si="47"/>
        <v/>
      </c>
      <c r="AQ60" s="149"/>
      <c r="AR60" s="100" t="str">
        <f t="shared" si="9"/>
        <v/>
      </c>
      <c r="AS60" s="8" t="str">
        <f t="shared" si="54"/>
        <v/>
      </c>
      <c r="AU60" s="105">
        <v>40</v>
      </c>
      <c r="AV60" s="95"/>
      <c r="AW60" s="95"/>
      <c r="AX60" s="35"/>
      <c r="AY60" s="33"/>
      <c r="AZ60" s="149" t="str">
        <f t="shared" si="55"/>
        <v/>
      </c>
      <c r="BA60" s="149"/>
      <c r="BB60" s="100" t="str">
        <f t="shared" si="10"/>
        <v/>
      </c>
      <c r="BC60" s="8" t="str">
        <f t="shared" si="56"/>
        <v/>
      </c>
      <c r="BE60" s="105">
        <v>40</v>
      </c>
      <c r="BF60" s="95"/>
      <c r="BG60" s="95"/>
      <c r="BH60" s="35"/>
      <c r="BI60" s="33"/>
      <c r="BJ60" s="149" t="str">
        <f t="shared" si="62"/>
        <v/>
      </c>
      <c r="BK60" s="149"/>
      <c r="BL60" s="100" t="str">
        <f t="shared" si="11"/>
        <v/>
      </c>
      <c r="BM60" s="8" t="str">
        <f t="shared" si="61"/>
        <v/>
      </c>
      <c r="BO60" s="105">
        <v>40</v>
      </c>
      <c r="BP60" s="95"/>
      <c r="BQ60" s="95"/>
      <c r="BR60" s="35"/>
      <c r="BS60" s="33"/>
      <c r="BT60" s="149" t="str">
        <f t="shared" si="48"/>
        <v/>
      </c>
      <c r="BU60" s="149"/>
      <c r="BV60" s="100" t="str">
        <f t="shared" si="12"/>
        <v/>
      </c>
      <c r="BW60" s="8" t="str">
        <f t="shared" si="49"/>
        <v/>
      </c>
      <c r="BY60" s="105">
        <v>40</v>
      </c>
      <c r="BZ60" s="95"/>
      <c r="CA60" s="95"/>
      <c r="CB60" s="35"/>
      <c r="CC60" s="33"/>
      <c r="CD60" s="149" t="str">
        <f t="shared" si="50"/>
        <v/>
      </c>
      <c r="CE60" s="149"/>
      <c r="CF60" s="100" t="str">
        <f t="shared" si="13"/>
        <v/>
      </c>
      <c r="CG60" s="8" t="str">
        <f t="shared" si="51"/>
        <v/>
      </c>
      <c r="CI60" s="105">
        <v>40</v>
      </c>
      <c r="CJ60" s="95"/>
      <c r="CK60" s="95"/>
      <c r="CL60" s="35"/>
      <c r="CM60" s="33"/>
      <c r="CN60" s="149" t="str">
        <f t="shared" si="57"/>
        <v/>
      </c>
      <c r="CO60" s="149"/>
      <c r="CP60" s="100" t="str">
        <f t="shared" si="44"/>
        <v/>
      </c>
      <c r="CQ60" s="8" t="str">
        <f t="shared" si="58"/>
        <v/>
      </c>
      <c r="CS60" s="105">
        <v>40</v>
      </c>
      <c r="CT60" s="95"/>
      <c r="CU60" s="95"/>
      <c r="CV60" s="35"/>
      <c r="CW60" s="33"/>
      <c r="CX60" s="149" t="str">
        <f t="shared" si="15"/>
        <v/>
      </c>
      <c r="CY60" s="149"/>
      <c r="CZ60" s="100" t="str">
        <f t="shared" si="16"/>
        <v/>
      </c>
      <c r="DA60" s="8" t="str">
        <f t="shared" si="17"/>
        <v/>
      </c>
      <c r="DC60" s="105">
        <v>40</v>
      </c>
      <c r="DD60" s="95"/>
      <c r="DE60" s="95"/>
      <c r="DF60" s="35"/>
      <c r="DG60" s="33"/>
      <c r="DH60" s="149" t="str">
        <f t="shared" si="18"/>
        <v/>
      </c>
      <c r="DI60" s="149"/>
      <c r="DJ60" s="100" t="str">
        <f t="shared" si="19"/>
        <v/>
      </c>
      <c r="DK60" s="8" t="str">
        <f t="shared" si="20"/>
        <v/>
      </c>
      <c r="DM60" s="105">
        <v>40</v>
      </c>
      <c r="DN60" s="95"/>
      <c r="DO60" s="95"/>
      <c r="DP60" s="35"/>
      <c r="DQ60" s="33"/>
      <c r="DR60" s="149" t="str">
        <f t="shared" si="21"/>
        <v/>
      </c>
      <c r="DS60" s="149"/>
      <c r="DT60" s="100" t="str">
        <f t="shared" si="22"/>
        <v/>
      </c>
      <c r="DU60" s="8" t="str">
        <f t="shared" si="23"/>
        <v/>
      </c>
    </row>
  </sheetData>
  <mergeCells count="818"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</mergeCells>
  <phoneticPr fontId="1"/>
  <dataValidations count="4">
    <dataValidation type="list" allowBlank="1" showInputMessage="1" showErrorMessage="1" sqref="B6" xr:uid="{00000000-0002-0000-0200-000000000000}">
      <formula1>"ドライ,ウェット"</formula1>
    </dataValidation>
    <dataValidation type="list" allowBlank="1" showInputMessage="1" sqref="I1:O1 S1:Y1 AC1:AI1 AM1:AS1 AW1:BC1 BG1:BM1 BQ1:BW1 CA1:CG1 CK1:CQ1 CU1:DA1 DE1:DK1 DO1:DU1" xr:uid="{00000000-0002-0000-0200-000001000000}">
      <formula1>$A$7:$A$9</formula1>
    </dataValidation>
    <dataValidation type="list" sqref="DO21:DO60 I21:I60 CA21:CA34 BQ21:BQ60 AC21:AC60 AM21:AM60 S21:S60 AW21:AW60 CU21:CU60 DE21:DE60 CK21:CK60 CA36:CA60 BG21:BG60" xr:uid="{00000000-0002-0000-0200-000002000000}">
      <formula1>"D,W,SC,EX1,EX2"</formula1>
    </dataValidation>
    <dataValidation type="list" sqref="H21:H60 BZ21:BZ34 R21:R60 BP21:BP60 DN21:DN60 AL21:AL60 AV21:AV60 CJ21:CJ60 CT21:CT60 DD21:DD60 AB21:AB60 BZ36:BZ60 BF21:BF60" xr:uid="{00000000-0002-0000-02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heet15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184150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99"/>
  <sheetViews>
    <sheetView topLeftCell="C76" zoomScaleNormal="100" workbookViewId="0">
      <selection activeCell="J99" sqref="A94:J99"/>
    </sheetView>
  </sheetViews>
  <sheetFormatPr defaultRowHeight="13" x14ac:dyDescent="0.2"/>
  <cols>
    <col min="1" max="4" width="10.81640625" customWidth="1"/>
    <col min="5" max="5" width="11.6328125" bestFit="1" customWidth="1"/>
    <col min="6" max="9" width="10.81640625" customWidth="1"/>
    <col min="10" max="10" width="11.6328125" bestFit="1" customWidth="1"/>
    <col min="11" max="11" width="16.6328125" customWidth="1"/>
    <col min="12" max="12" width="22.54296875" style="25" bestFit="1" customWidth="1"/>
    <col min="13" max="13" width="12.90625" customWidth="1"/>
  </cols>
  <sheetData>
    <row r="1" spans="1:17" x14ac:dyDescent="0.2">
      <c r="A1" s="87" t="s">
        <v>57</v>
      </c>
      <c r="B1" s="80"/>
      <c r="C1" s="80"/>
      <c r="F1" s="88" t="s">
        <v>65</v>
      </c>
      <c r="G1" s="80"/>
      <c r="H1" s="80"/>
      <c r="O1" s="93"/>
      <c r="P1" s="93"/>
      <c r="Q1" s="93"/>
    </row>
    <row r="2" spans="1:17" x14ac:dyDescent="0.2">
      <c r="A2" s="150" t="s">
        <v>58</v>
      </c>
      <c r="B2" s="150"/>
      <c r="C2" s="89" t="s">
        <v>59</v>
      </c>
      <c r="F2" s="150" t="s">
        <v>66</v>
      </c>
      <c r="G2" s="150"/>
      <c r="H2" s="89" t="s">
        <v>67</v>
      </c>
      <c r="K2" s="135" t="s">
        <v>80</v>
      </c>
      <c r="L2" s="135"/>
      <c r="M2" s="68" t="s">
        <v>85</v>
      </c>
      <c r="O2" s="92"/>
      <c r="P2" s="92"/>
      <c r="Q2" s="92"/>
    </row>
    <row r="3" spans="1:17" x14ac:dyDescent="0.2">
      <c r="A3" s="150" t="s">
        <v>60</v>
      </c>
      <c r="B3" s="150"/>
      <c r="C3" s="81"/>
      <c r="F3" s="150" t="s">
        <v>68</v>
      </c>
      <c r="G3" s="150"/>
      <c r="H3" s="81"/>
      <c r="K3" s="91" t="s">
        <v>73</v>
      </c>
      <c r="L3" s="90">
        <v>0.33</v>
      </c>
      <c r="M3" s="49"/>
      <c r="O3" s="92"/>
      <c r="P3" s="92"/>
      <c r="Q3" s="92"/>
    </row>
    <row r="4" spans="1:17" x14ac:dyDescent="0.2">
      <c r="A4" s="150" t="s">
        <v>61</v>
      </c>
      <c r="B4" s="150"/>
      <c r="C4" s="81"/>
      <c r="F4" s="150" t="s">
        <v>69</v>
      </c>
      <c r="G4" s="150"/>
      <c r="H4" s="81"/>
      <c r="K4" s="91" t="s">
        <v>74</v>
      </c>
      <c r="L4" s="90">
        <v>0.33</v>
      </c>
      <c r="M4" s="49"/>
      <c r="O4" s="94"/>
      <c r="P4" s="94"/>
      <c r="Q4" s="94"/>
    </row>
    <row r="5" spans="1:17" x14ac:dyDescent="0.2">
      <c r="A5" s="150" t="s">
        <v>62</v>
      </c>
      <c r="B5" s="150"/>
      <c r="C5" s="81"/>
      <c r="F5" s="150" t="s">
        <v>70</v>
      </c>
      <c r="G5" s="150"/>
      <c r="H5" s="81"/>
      <c r="K5" s="91" t="s">
        <v>75</v>
      </c>
      <c r="L5" s="90">
        <v>0.3</v>
      </c>
      <c r="M5" s="49"/>
      <c r="O5" s="92"/>
      <c r="P5" s="92"/>
      <c r="Q5" s="92"/>
    </row>
    <row r="6" spans="1:17" x14ac:dyDescent="0.2">
      <c r="A6" s="150" t="s">
        <v>63</v>
      </c>
      <c r="B6" s="150"/>
      <c r="C6" s="82"/>
      <c r="F6" s="150" t="s">
        <v>71</v>
      </c>
      <c r="G6" s="150"/>
      <c r="H6" s="82"/>
      <c r="K6" s="91" t="s">
        <v>76</v>
      </c>
      <c r="L6" s="90">
        <v>0.3</v>
      </c>
      <c r="M6" s="49"/>
      <c r="O6" s="92"/>
      <c r="P6" s="92"/>
      <c r="Q6" s="92"/>
    </row>
    <row r="7" spans="1:17" x14ac:dyDescent="0.2">
      <c r="A7" s="151" t="s">
        <v>64</v>
      </c>
      <c r="B7" s="85" t="s">
        <v>94</v>
      </c>
      <c r="C7" s="85" t="s">
        <v>102</v>
      </c>
      <c r="D7" s="60" t="s">
        <v>97</v>
      </c>
      <c r="E7" s="60" t="s">
        <v>108</v>
      </c>
      <c r="F7" s="151" t="s">
        <v>72</v>
      </c>
      <c r="G7" s="85" t="s">
        <v>94</v>
      </c>
      <c r="H7" s="85" t="s">
        <v>102</v>
      </c>
      <c r="I7" s="60" t="s">
        <v>97</v>
      </c>
      <c r="J7" s="60" t="s">
        <v>108</v>
      </c>
      <c r="K7" s="91" t="s">
        <v>77</v>
      </c>
      <c r="L7" s="90">
        <v>0.27</v>
      </c>
      <c r="M7" s="49"/>
    </row>
    <row r="8" spans="1:17" x14ac:dyDescent="0.2">
      <c r="A8" s="152"/>
      <c r="B8" s="86" t="s">
        <v>81</v>
      </c>
      <c r="C8" s="60" t="s">
        <v>82</v>
      </c>
      <c r="D8" s="60" t="s">
        <v>81</v>
      </c>
      <c r="E8" s="60" t="s">
        <v>81</v>
      </c>
      <c r="F8" s="152"/>
      <c r="G8" s="60" t="s">
        <v>83</v>
      </c>
      <c r="H8" s="60" t="s">
        <v>84</v>
      </c>
      <c r="I8" s="60" t="s">
        <v>84</v>
      </c>
      <c r="J8" s="60" t="s">
        <v>81</v>
      </c>
      <c r="K8" s="91" t="s">
        <v>78</v>
      </c>
      <c r="L8" s="90"/>
      <c r="M8" s="49" t="s">
        <v>88</v>
      </c>
    </row>
    <row r="9" spans="1:17" x14ac:dyDescent="0.2">
      <c r="A9" s="83">
        <v>135</v>
      </c>
      <c r="B9" s="84">
        <v>0.35</v>
      </c>
      <c r="C9" s="84">
        <v>0.35</v>
      </c>
      <c r="D9" s="84">
        <v>0.35</v>
      </c>
      <c r="E9" s="84">
        <v>0.35</v>
      </c>
      <c r="F9" s="83">
        <v>135</v>
      </c>
      <c r="G9" s="84">
        <v>0.32</v>
      </c>
      <c r="H9" s="84">
        <v>0.32</v>
      </c>
      <c r="I9" s="84">
        <v>0.32</v>
      </c>
      <c r="J9" s="84">
        <v>0.32</v>
      </c>
      <c r="K9" s="91" t="s">
        <v>79</v>
      </c>
      <c r="L9" s="90"/>
      <c r="M9" s="49" t="s">
        <v>87</v>
      </c>
    </row>
    <row r="10" spans="1:17" x14ac:dyDescent="0.2">
      <c r="A10" s="83">
        <v>135.5</v>
      </c>
      <c r="B10" s="84">
        <v>0.35</v>
      </c>
      <c r="C10" s="84">
        <v>0.35</v>
      </c>
      <c r="D10" s="84">
        <v>0.35</v>
      </c>
      <c r="E10" s="84">
        <v>0.35</v>
      </c>
      <c r="F10" s="83">
        <v>135.5</v>
      </c>
      <c r="G10" s="84">
        <v>0.32</v>
      </c>
      <c r="H10" s="84">
        <v>0.32</v>
      </c>
      <c r="I10" s="84">
        <v>0.32</v>
      </c>
      <c r="J10" s="84">
        <v>0.32</v>
      </c>
    </row>
    <row r="11" spans="1:17" x14ac:dyDescent="0.2">
      <c r="A11" s="83">
        <v>136</v>
      </c>
      <c r="B11" s="84">
        <v>0.35</v>
      </c>
      <c r="C11" s="84">
        <v>0.35</v>
      </c>
      <c r="D11" s="84">
        <v>0.35</v>
      </c>
      <c r="E11" s="84">
        <v>0.35</v>
      </c>
      <c r="F11" s="83">
        <v>136</v>
      </c>
      <c r="G11" s="84">
        <v>0.32</v>
      </c>
      <c r="H11" s="84">
        <v>0.32</v>
      </c>
      <c r="I11" s="84">
        <v>0.32</v>
      </c>
      <c r="J11" s="84">
        <v>0.32</v>
      </c>
    </row>
    <row r="12" spans="1:17" x14ac:dyDescent="0.2">
      <c r="A12" s="83">
        <v>136.5</v>
      </c>
      <c r="B12" s="84">
        <v>0.35</v>
      </c>
      <c r="C12" s="84">
        <v>0.35</v>
      </c>
      <c r="D12" s="84">
        <v>0.35</v>
      </c>
      <c r="E12" s="84">
        <v>0.35</v>
      </c>
      <c r="F12" s="83">
        <v>136.5</v>
      </c>
      <c r="G12" s="84">
        <v>0.32</v>
      </c>
      <c r="H12" s="84">
        <v>0.32</v>
      </c>
      <c r="I12" s="84">
        <v>0.32</v>
      </c>
      <c r="J12" s="84">
        <v>0.32</v>
      </c>
    </row>
    <row r="13" spans="1:17" x14ac:dyDescent="0.2">
      <c r="A13" s="83">
        <v>137</v>
      </c>
      <c r="B13" s="84">
        <v>0.35</v>
      </c>
      <c r="C13" s="84">
        <v>0.35</v>
      </c>
      <c r="D13" s="84">
        <v>0.35</v>
      </c>
      <c r="E13" s="84">
        <v>0.35</v>
      </c>
      <c r="F13" s="83">
        <v>137</v>
      </c>
      <c r="G13" s="84">
        <v>0.32</v>
      </c>
      <c r="H13" s="84">
        <v>0.32</v>
      </c>
      <c r="I13" s="84">
        <v>0.32</v>
      </c>
      <c r="J13" s="84">
        <v>0.32</v>
      </c>
    </row>
    <row r="14" spans="1:17" x14ac:dyDescent="0.2">
      <c r="A14" s="83">
        <v>137.5</v>
      </c>
      <c r="B14" s="84">
        <v>0.35</v>
      </c>
      <c r="C14" s="84">
        <v>0.35</v>
      </c>
      <c r="D14" s="84">
        <v>0.35</v>
      </c>
      <c r="E14" s="84">
        <v>0.35</v>
      </c>
      <c r="F14" s="83">
        <v>137.5</v>
      </c>
      <c r="G14" s="84">
        <v>0.32</v>
      </c>
      <c r="H14" s="84">
        <v>0.32</v>
      </c>
      <c r="I14" s="84">
        <v>0.32</v>
      </c>
      <c r="J14" s="84">
        <v>0.32</v>
      </c>
    </row>
    <row r="15" spans="1:17" x14ac:dyDescent="0.2">
      <c r="A15" s="83">
        <v>138</v>
      </c>
      <c r="B15" s="84">
        <v>0.35</v>
      </c>
      <c r="C15" s="84">
        <v>0.35</v>
      </c>
      <c r="D15" s="84">
        <v>0.35</v>
      </c>
      <c r="E15" s="84">
        <v>0.35</v>
      </c>
      <c r="F15" s="83">
        <v>138</v>
      </c>
      <c r="G15" s="84">
        <v>0.32</v>
      </c>
      <c r="H15" s="84">
        <v>0.32</v>
      </c>
      <c r="I15" s="84">
        <v>0.32</v>
      </c>
      <c r="J15" s="84">
        <v>0.32</v>
      </c>
    </row>
    <row r="16" spans="1:17" x14ac:dyDescent="0.2">
      <c r="A16" s="83">
        <v>138.5</v>
      </c>
      <c r="B16" s="84">
        <v>0.35</v>
      </c>
      <c r="C16" s="84">
        <v>0.35</v>
      </c>
      <c r="D16" s="84">
        <v>0.35</v>
      </c>
      <c r="E16" s="84">
        <v>0.35</v>
      </c>
      <c r="F16" s="83">
        <v>138.5</v>
      </c>
      <c r="G16" s="84">
        <v>0.32</v>
      </c>
      <c r="H16" s="84">
        <v>0.32</v>
      </c>
      <c r="I16" s="84">
        <v>0.32</v>
      </c>
      <c r="J16" s="84">
        <v>0.32</v>
      </c>
    </row>
    <row r="17" spans="1:10" x14ac:dyDescent="0.2">
      <c r="A17" s="83">
        <v>139</v>
      </c>
      <c r="B17" s="84">
        <v>0.35</v>
      </c>
      <c r="C17" s="84">
        <v>0.35</v>
      </c>
      <c r="D17" s="84">
        <v>0.35</v>
      </c>
      <c r="E17" s="84">
        <v>0.35</v>
      </c>
      <c r="F17" s="83">
        <v>139</v>
      </c>
      <c r="G17" s="84">
        <v>0.32</v>
      </c>
      <c r="H17" s="84">
        <v>0.32</v>
      </c>
      <c r="I17" s="84">
        <v>0.32</v>
      </c>
      <c r="J17" s="84">
        <v>0.32</v>
      </c>
    </row>
    <row r="18" spans="1:10" x14ac:dyDescent="0.2">
      <c r="A18" s="83">
        <v>139.5</v>
      </c>
      <c r="B18" s="84">
        <v>0.35</v>
      </c>
      <c r="C18" s="84">
        <v>0.35</v>
      </c>
      <c r="D18" s="84">
        <v>0.35</v>
      </c>
      <c r="E18" s="84">
        <v>0.35</v>
      </c>
      <c r="F18" s="83">
        <v>139.5</v>
      </c>
      <c r="G18" s="84">
        <v>0.32</v>
      </c>
      <c r="H18" s="84">
        <v>0.32</v>
      </c>
      <c r="I18" s="84">
        <v>0.32</v>
      </c>
      <c r="J18" s="84">
        <v>0.32</v>
      </c>
    </row>
    <row r="19" spans="1:10" x14ac:dyDescent="0.2">
      <c r="A19" s="83">
        <v>140</v>
      </c>
      <c r="B19" s="84">
        <v>0.35</v>
      </c>
      <c r="C19" s="84">
        <v>0.35</v>
      </c>
      <c r="D19" s="84">
        <v>0.35</v>
      </c>
      <c r="E19" s="84">
        <v>0.35</v>
      </c>
      <c r="F19" s="83">
        <v>140</v>
      </c>
      <c r="G19" s="84">
        <v>0.32</v>
      </c>
      <c r="H19" s="84">
        <v>0.32</v>
      </c>
      <c r="I19" s="84">
        <v>0.32</v>
      </c>
      <c r="J19" s="84">
        <v>0.32</v>
      </c>
    </row>
    <row r="20" spans="1:10" x14ac:dyDescent="0.2">
      <c r="A20" s="83">
        <v>140.5</v>
      </c>
      <c r="B20" s="84">
        <v>0.35</v>
      </c>
      <c r="C20" s="84">
        <v>0.35</v>
      </c>
      <c r="D20" s="84">
        <v>0.35</v>
      </c>
      <c r="E20" s="84">
        <v>0.35</v>
      </c>
      <c r="F20" s="83">
        <v>140.5</v>
      </c>
      <c r="G20" s="84">
        <v>0.32</v>
      </c>
      <c r="H20" s="84">
        <v>0.32</v>
      </c>
      <c r="I20" s="84">
        <v>0.32</v>
      </c>
      <c r="J20" s="84">
        <v>0.32</v>
      </c>
    </row>
    <row r="21" spans="1:10" x14ac:dyDescent="0.2">
      <c r="A21" s="83">
        <v>141</v>
      </c>
      <c r="B21" s="84">
        <v>0.35</v>
      </c>
      <c r="C21" s="84">
        <v>0.35</v>
      </c>
      <c r="D21" s="84">
        <v>0.35</v>
      </c>
      <c r="E21" s="84">
        <v>0.35</v>
      </c>
      <c r="F21" s="83">
        <v>141</v>
      </c>
      <c r="G21" s="84">
        <v>0.32</v>
      </c>
      <c r="H21" s="84">
        <v>0.32</v>
      </c>
      <c r="I21" s="84">
        <v>0.32</v>
      </c>
      <c r="J21" s="84">
        <v>0.32</v>
      </c>
    </row>
    <row r="22" spans="1:10" x14ac:dyDescent="0.2">
      <c r="A22" s="83">
        <v>141.5</v>
      </c>
      <c r="B22" s="84">
        <v>0.35</v>
      </c>
      <c r="C22" s="84">
        <v>0.35</v>
      </c>
      <c r="D22" s="84">
        <v>0.35</v>
      </c>
      <c r="E22" s="84">
        <v>0.35</v>
      </c>
      <c r="F22" s="83">
        <v>141.5</v>
      </c>
      <c r="G22" s="84">
        <v>0.32</v>
      </c>
      <c r="H22" s="84">
        <v>0.32</v>
      </c>
      <c r="I22" s="84">
        <v>0.32</v>
      </c>
      <c r="J22" s="84">
        <v>0.32</v>
      </c>
    </row>
    <row r="23" spans="1:10" x14ac:dyDescent="0.2">
      <c r="A23" s="83">
        <v>142</v>
      </c>
      <c r="B23" s="84">
        <v>0.35</v>
      </c>
      <c r="C23" s="84">
        <v>0.35</v>
      </c>
      <c r="D23" s="84">
        <v>0.35</v>
      </c>
      <c r="E23" s="84">
        <v>0.35</v>
      </c>
      <c r="F23" s="83">
        <v>142</v>
      </c>
      <c r="G23" s="84">
        <v>0.32</v>
      </c>
      <c r="H23" s="84">
        <v>0.32</v>
      </c>
      <c r="I23" s="84">
        <v>0.32</v>
      </c>
      <c r="J23" s="84">
        <v>0.32</v>
      </c>
    </row>
    <row r="24" spans="1:10" x14ac:dyDescent="0.2">
      <c r="A24" s="83">
        <v>142.5</v>
      </c>
      <c r="B24" s="84">
        <v>0.35</v>
      </c>
      <c r="C24" s="84">
        <v>0.35</v>
      </c>
      <c r="D24" s="84">
        <v>0.35</v>
      </c>
      <c r="E24" s="84">
        <v>0.35</v>
      </c>
      <c r="F24" s="83">
        <v>142.5</v>
      </c>
      <c r="G24" s="84">
        <v>0.32</v>
      </c>
      <c r="H24" s="84">
        <v>0.32</v>
      </c>
      <c r="I24" s="84">
        <v>0.32</v>
      </c>
      <c r="J24" s="84">
        <v>0.32</v>
      </c>
    </row>
    <row r="25" spans="1:10" x14ac:dyDescent="0.2">
      <c r="A25" s="83">
        <v>143</v>
      </c>
      <c r="B25" s="84">
        <v>0.35</v>
      </c>
      <c r="C25" s="84">
        <v>0.35</v>
      </c>
      <c r="D25" s="84">
        <v>0.35</v>
      </c>
      <c r="E25" s="84">
        <v>0.35</v>
      </c>
      <c r="F25" s="83">
        <v>143</v>
      </c>
      <c r="G25" s="84">
        <v>0.32</v>
      </c>
      <c r="H25" s="84">
        <v>0.32</v>
      </c>
      <c r="I25" s="84">
        <v>0.32</v>
      </c>
      <c r="J25" s="84">
        <v>0.32</v>
      </c>
    </row>
    <row r="26" spans="1:10" x14ac:dyDescent="0.2">
      <c r="A26" s="83">
        <v>143.5</v>
      </c>
      <c r="B26" s="84">
        <v>0.35</v>
      </c>
      <c r="C26" s="84">
        <v>0.35</v>
      </c>
      <c r="D26" s="84">
        <v>0.35</v>
      </c>
      <c r="E26" s="84">
        <v>0.35</v>
      </c>
      <c r="F26" s="83">
        <v>143.5</v>
      </c>
      <c r="G26" s="84">
        <v>0.32</v>
      </c>
      <c r="H26" s="84">
        <v>0.32</v>
      </c>
      <c r="I26" s="84">
        <v>0.32</v>
      </c>
      <c r="J26" s="84">
        <v>0.32</v>
      </c>
    </row>
    <row r="27" spans="1:10" x14ac:dyDescent="0.2">
      <c r="A27" s="83">
        <v>144</v>
      </c>
      <c r="B27" s="84">
        <v>0.35</v>
      </c>
      <c r="C27" s="84">
        <v>0.35</v>
      </c>
      <c r="D27" s="84">
        <v>0.35</v>
      </c>
      <c r="E27" s="84">
        <v>0.35</v>
      </c>
      <c r="F27" s="83">
        <v>144</v>
      </c>
      <c r="G27" s="84">
        <v>0.32</v>
      </c>
      <c r="H27" s="84">
        <v>0.32</v>
      </c>
      <c r="I27" s="84">
        <v>0.32</v>
      </c>
      <c r="J27" s="84">
        <v>0.32</v>
      </c>
    </row>
    <row r="28" spans="1:10" x14ac:dyDescent="0.2">
      <c r="A28" s="83">
        <v>144.5</v>
      </c>
      <c r="B28" s="84">
        <v>0.35</v>
      </c>
      <c r="C28" s="84">
        <v>0.35</v>
      </c>
      <c r="D28" s="84">
        <v>0.35</v>
      </c>
      <c r="E28" s="84">
        <v>0.35</v>
      </c>
      <c r="F28" s="83">
        <v>144.5</v>
      </c>
      <c r="G28" s="84">
        <v>0.32</v>
      </c>
      <c r="H28" s="84">
        <v>0.32</v>
      </c>
      <c r="I28" s="84">
        <v>0.32</v>
      </c>
      <c r="J28" s="84">
        <v>0.32</v>
      </c>
    </row>
    <row r="29" spans="1:10" x14ac:dyDescent="0.2">
      <c r="A29" s="83">
        <v>145</v>
      </c>
      <c r="B29" s="84">
        <v>0.35</v>
      </c>
      <c r="C29" s="84">
        <v>0.35</v>
      </c>
      <c r="D29" s="84">
        <v>0.35</v>
      </c>
      <c r="E29" s="84">
        <v>0.35</v>
      </c>
      <c r="F29" s="83">
        <v>145</v>
      </c>
      <c r="G29" s="84">
        <v>0.32</v>
      </c>
      <c r="H29" s="84">
        <v>0.32</v>
      </c>
      <c r="I29" s="84">
        <v>0.32</v>
      </c>
      <c r="J29" s="84">
        <v>0.32</v>
      </c>
    </row>
    <row r="30" spans="1:10" x14ac:dyDescent="0.2">
      <c r="A30" s="83">
        <v>145.5</v>
      </c>
      <c r="B30" s="84">
        <v>0.35</v>
      </c>
      <c r="C30" s="84">
        <v>0.35</v>
      </c>
      <c r="D30" s="84">
        <v>0.35</v>
      </c>
      <c r="E30" s="84">
        <v>0.35</v>
      </c>
      <c r="F30" s="83">
        <v>145.5</v>
      </c>
      <c r="G30" s="84">
        <v>0.32</v>
      </c>
      <c r="H30" s="84">
        <v>0.32</v>
      </c>
      <c r="I30" s="84">
        <v>0.32</v>
      </c>
      <c r="J30" s="84">
        <v>0.32</v>
      </c>
    </row>
    <row r="31" spans="1:10" x14ac:dyDescent="0.2">
      <c r="A31" s="83">
        <v>146</v>
      </c>
      <c r="B31" s="84">
        <v>0.35</v>
      </c>
      <c r="C31" s="84">
        <v>0.35</v>
      </c>
      <c r="D31" s="84">
        <v>0.35</v>
      </c>
      <c r="E31" s="84">
        <v>0.35</v>
      </c>
      <c r="F31" s="83">
        <v>146</v>
      </c>
      <c r="G31" s="84">
        <v>0.32</v>
      </c>
      <c r="H31" s="84">
        <v>0.32</v>
      </c>
      <c r="I31" s="84">
        <v>0.32</v>
      </c>
      <c r="J31" s="84">
        <v>0.32</v>
      </c>
    </row>
    <row r="32" spans="1:10" x14ac:dyDescent="0.2">
      <c r="A32" s="83">
        <v>146.5</v>
      </c>
      <c r="B32" s="84">
        <v>0.35</v>
      </c>
      <c r="C32" s="84">
        <v>0.35</v>
      </c>
      <c r="D32" s="84">
        <v>0.35</v>
      </c>
      <c r="E32" s="84">
        <v>0.35</v>
      </c>
      <c r="F32" s="83">
        <v>146.5</v>
      </c>
      <c r="G32" s="84">
        <v>0.32</v>
      </c>
      <c r="H32" s="84">
        <v>0.32</v>
      </c>
      <c r="I32" s="84">
        <v>0.32</v>
      </c>
      <c r="J32" s="84">
        <v>0.32</v>
      </c>
    </row>
    <row r="33" spans="1:10" x14ac:dyDescent="0.2">
      <c r="A33" s="83">
        <v>147</v>
      </c>
      <c r="B33" s="84">
        <v>0.35</v>
      </c>
      <c r="C33" s="84">
        <v>0.35</v>
      </c>
      <c r="D33" s="84">
        <v>0.35</v>
      </c>
      <c r="E33" s="84">
        <v>0.35</v>
      </c>
      <c r="F33" s="83">
        <v>147</v>
      </c>
      <c r="G33" s="84">
        <v>0.32</v>
      </c>
      <c r="H33" s="84">
        <v>0.32</v>
      </c>
      <c r="I33" s="84">
        <v>0.32</v>
      </c>
      <c r="J33" s="84">
        <v>0.32</v>
      </c>
    </row>
    <row r="34" spans="1:10" x14ac:dyDescent="0.2">
      <c r="A34" s="83">
        <v>147.5</v>
      </c>
      <c r="B34" s="84">
        <v>0.35</v>
      </c>
      <c r="C34" s="84">
        <v>0.35</v>
      </c>
      <c r="D34" s="84">
        <v>0.35</v>
      </c>
      <c r="E34" s="84">
        <v>0.35</v>
      </c>
      <c r="F34" s="83">
        <v>147.5</v>
      </c>
      <c r="G34" s="84">
        <v>0.32</v>
      </c>
      <c r="H34" s="84">
        <v>0.32</v>
      </c>
      <c r="I34" s="84">
        <v>0.32</v>
      </c>
      <c r="J34" s="84">
        <v>0.32</v>
      </c>
    </row>
    <row r="35" spans="1:10" x14ac:dyDescent="0.2">
      <c r="A35" s="83">
        <v>148</v>
      </c>
      <c r="B35" s="84">
        <v>0.35</v>
      </c>
      <c r="C35" s="84">
        <v>0.35</v>
      </c>
      <c r="D35" s="84">
        <v>0.35</v>
      </c>
      <c r="E35" s="84">
        <v>0.35</v>
      </c>
      <c r="F35" s="83">
        <v>148</v>
      </c>
      <c r="G35" s="84">
        <v>0.32</v>
      </c>
      <c r="H35" s="84">
        <v>0.32</v>
      </c>
      <c r="I35" s="84">
        <v>0.32</v>
      </c>
      <c r="J35" s="84">
        <v>0.32</v>
      </c>
    </row>
    <row r="36" spans="1:10" x14ac:dyDescent="0.2">
      <c r="A36" s="83">
        <v>148.5</v>
      </c>
      <c r="B36" s="84">
        <v>0.35</v>
      </c>
      <c r="C36" s="84">
        <v>0.35</v>
      </c>
      <c r="D36" s="84">
        <v>0.35</v>
      </c>
      <c r="E36" s="84">
        <v>0.35</v>
      </c>
      <c r="F36" s="83">
        <v>148.5</v>
      </c>
      <c r="G36" s="84">
        <v>0.32</v>
      </c>
      <c r="H36" s="84">
        <v>0.32</v>
      </c>
      <c r="I36" s="84">
        <v>0.32</v>
      </c>
      <c r="J36" s="84">
        <v>0.32</v>
      </c>
    </row>
    <row r="37" spans="1:10" x14ac:dyDescent="0.2">
      <c r="A37" s="83">
        <v>149</v>
      </c>
      <c r="B37" s="84">
        <v>0.35</v>
      </c>
      <c r="C37" s="84">
        <v>0.35</v>
      </c>
      <c r="D37" s="84">
        <v>0.35</v>
      </c>
      <c r="E37" s="84">
        <v>0.35</v>
      </c>
      <c r="F37" s="83">
        <v>149</v>
      </c>
      <c r="G37" s="84">
        <v>0.32</v>
      </c>
      <c r="H37" s="84">
        <v>0.32</v>
      </c>
      <c r="I37" s="84">
        <v>0.32</v>
      </c>
      <c r="J37" s="84">
        <v>0.32</v>
      </c>
    </row>
    <row r="38" spans="1:10" x14ac:dyDescent="0.2">
      <c r="A38" s="83">
        <v>149.5</v>
      </c>
      <c r="B38" s="84">
        <v>0.35</v>
      </c>
      <c r="C38" s="84">
        <v>0.35</v>
      </c>
      <c r="D38" s="84">
        <v>0.35</v>
      </c>
      <c r="E38" s="84">
        <v>0.35</v>
      </c>
      <c r="F38" s="83">
        <v>149.5</v>
      </c>
      <c r="G38" s="84">
        <v>0.32</v>
      </c>
      <c r="H38" s="84">
        <v>0.32</v>
      </c>
      <c r="I38" s="84">
        <v>0.32</v>
      </c>
      <c r="J38" s="84">
        <v>0.32</v>
      </c>
    </row>
    <row r="39" spans="1:10" x14ac:dyDescent="0.2">
      <c r="A39" s="83">
        <v>150</v>
      </c>
      <c r="B39" s="84">
        <v>0.35</v>
      </c>
      <c r="C39" s="84">
        <v>0.35</v>
      </c>
      <c r="D39" s="84">
        <v>0.35</v>
      </c>
      <c r="E39" s="84">
        <v>0.35</v>
      </c>
      <c r="F39" s="83">
        <v>150</v>
      </c>
      <c r="G39" s="84">
        <v>0.32</v>
      </c>
      <c r="H39" s="84">
        <v>0.32</v>
      </c>
      <c r="I39" s="84">
        <v>0.32</v>
      </c>
      <c r="J39" s="84">
        <v>0.32</v>
      </c>
    </row>
    <row r="40" spans="1:10" x14ac:dyDescent="0.2">
      <c r="A40" s="83">
        <v>150.5</v>
      </c>
      <c r="B40" s="84">
        <v>0.35</v>
      </c>
      <c r="C40" s="84">
        <v>0.35</v>
      </c>
      <c r="D40" s="84">
        <v>0.35</v>
      </c>
      <c r="E40" s="84">
        <v>0.35</v>
      </c>
      <c r="F40" s="83">
        <v>150.5</v>
      </c>
      <c r="G40" s="84">
        <v>0.32</v>
      </c>
      <c r="H40" s="84">
        <v>0.32</v>
      </c>
      <c r="I40" s="84">
        <v>0.32</v>
      </c>
      <c r="J40" s="84">
        <v>0.32</v>
      </c>
    </row>
    <row r="41" spans="1:10" x14ac:dyDescent="0.2">
      <c r="A41" s="83">
        <v>151</v>
      </c>
      <c r="B41" s="84">
        <v>0.35</v>
      </c>
      <c r="C41" s="84">
        <v>0.35</v>
      </c>
      <c r="D41" s="84">
        <v>0.35</v>
      </c>
      <c r="E41" s="84">
        <v>0.35</v>
      </c>
      <c r="F41" s="83">
        <v>151</v>
      </c>
      <c r="G41" s="84">
        <v>0.32</v>
      </c>
      <c r="H41" s="84">
        <v>0.32</v>
      </c>
      <c r="I41" s="84">
        <v>0.32</v>
      </c>
      <c r="J41" s="84">
        <v>0.32</v>
      </c>
    </row>
    <row r="42" spans="1:10" x14ac:dyDescent="0.2">
      <c r="A42" s="83">
        <v>151.5</v>
      </c>
      <c r="B42" s="84">
        <v>0.35</v>
      </c>
      <c r="C42" s="84">
        <v>0.35</v>
      </c>
      <c r="D42" s="84">
        <v>0.35</v>
      </c>
      <c r="E42" s="84">
        <v>0.35</v>
      </c>
      <c r="F42" s="83">
        <v>151.5</v>
      </c>
      <c r="G42" s="84">
        <v>0.32</v>
      </c>
      <c r="H42" s="84">
        <v>0.32</v>
      </c>
      <c r="I42" s="84">
        <v>0.32</v>
      </c>
      <c r="J42" s="84">
        <v>0.32</v>
      </c>
    </row>
    <row r="43" spans="1:10" x14ac:dyDescent="0.2">
      <c r="A43" s="83">
        <v>152</v>
      </c>
      <c r="B43" s="84">
        <v>0.35</v>
      </c>
      <c r="C43" s="84">
        <v>0.35</v>
      </c>
      <c r="D43" s="84">
        <v>0.35</v>
      </c>
      <c r="E43" s="84">
        <v>0.35</v>
      </c>
      <c r="F43" s="83">
        <v>152</v>
      </c>
      <c r="G43" s="84">
        <v>0.32</v>
      </c>
      <c r="H43" s="84">
        <v>0.32</v>
      </c>
      <c r="I43" s="84">
        <v>0.32</v>
      </c>
      <c r="J43" s="84">
        <v>0.32</v>
      </c>
    </row>
    <row r="44" spans="1:10" x14ac:dyDescent="0.2">
      <c r="A44" s="83">
        <v>152.5</v>
      </c>
      <c r="B44" s="84">
        <v>0.35</v>
      </c>
      <c r="C44" s="84">
        <v>0.35</v>
      </c>
      <c r="D44" s="84">
        <v>0.35</v>
      </c>
      <c r="E44" s="84">
        <v>0.35</v>
      </c>
      <c r="F44" s="83">
        <v>152.5</v>
      </c>
      <c r="G44" s="84">
        <v>0.32</v>
      </c>
      <c r="H44" s="84">
        <v>0.32</v>
      </c>
      <c r="I44" s="84">
        <v>0.32</v>
      </c>
      <c r="J44" s="84">
        <v>0.32</v>
      </c>
    </row>
    <row r="45" spans="1:10" x14ac:dyDescent="0.2">
      <c r="A45" s="83">
        <v>153</v>
      </c>
      <c r="B45" s="84">
        <v>0.35</v>
      </c>
      <c r="C45" s="84">
        <v>0.35</v>
      </c>
      <c r="D45" s="84">
        <v>0.35</v>
      </c>
      <c r="E45" s="84">
        <v>0.35</v>
      </c>
      <c r="F45" s="83">
        <v>153</v>
      </c>
      <c r="G45" s="84">
        <v>0.32</v>
      </c>
      <c r="H45" s="84">
        <v>0.32</v>
      </c>
      <c r="I45" s="84">
        <v>0.32</v>
      </c>
      <c r="J45" s="84">
        <v>0.32</v>
      </c>
    </row>
    <row r="46" spans="1:10" x14ac:dyDescent="0.2">
      <c r="A46" s="83">
        <v>153.5</v>
      </c>
      <c r="B46" s="84">
        <v>0.35</v>
      </c>
      <c r="C46" s="84">
        <v>0.35</v>
      </c>
      <c r="D46" s="84">
        <v>0.35</v>
      </c>
      <c r="E46" s="84">
        <v>0.35</v>
      </c>
      <c r="F46" s="83">
        <v>153.5</v>
      </c>
      <c r="G46" s="84">
        <v>0.32</v>
      </c>
      <c r="H46" s="84">
        <v>0.32</v>
      </c>
      <c r="I46" s="84">
        <v>0.32</v>
      </c>
      <c r="J46" s="84">
        <v>0.32</v>
      </c>
    </row>
    <row r="47" spans="1:10" x14ac:dyDescent="0.2">
      <c r="A47" s="83">
        <v>154</v>
      </c>
      <c r="B47" s="84">
        <v>0.35</v>
      </c>
      <c r="C47" s="84">
        <v>0.35</v>
      </c>
      <c r="D47" s="84">
        <v>0.35</v>
      </c>
      <c r="E47" s="84">
        <v>0.35</v>
      </c>
      <c r="F47" s="83">
        <v>154</v>
      </c>
      <c r="G47" s="84">
        <v>0.32</v>
      </c>
      <c r="H47" s="84">
        <v>0.32</v>
      </c>
      <c r="I47" s="84">
        <v>0.32</v>
      </c>
      <c r="J47" s="84">
        <v>0.32</v>
      </c>
    </row>
    <row r="48" spans="1:10" x14ac:dyDescent="0.2">
      <c r="A48" s="83">
        <v>154.5</v>
      </c>
      <c r="B48" s="84">
        <v>0.35</v>
      </c>
      <c r="C48" s="84">
        <v>0.35</v>
      </c>
      <c r="D48" s="84">
        <v>0.35</v>
      </c>
      <c r="E48" s="84">
        <v>0.35</v>
      </c>
      <c r="F48" s="83">
        <v>154.5</v>
      </c>
      <c r="G48" s="84">
        <v>0.32</v>
      </c>
      <c r="H48" s="84">
        <v>0.32</v>
      </c>
      <c r="I48" s="84">
        <v>0.32</v>
      </c>
      <c r="J48" s="84">
        <v>0.32</v>
      </c>
    </row>
    <row r="49" spans="1:10" x14ac:dyDescent="0.2">
      <c r="A49" s="83">
        <v>155</v>
      </c>
      <c r="B49" s="84">
        <v>0.35</v>
      </c>
      <c r="C49" s="84">
        <v>0.35</v>
      </c>
      <c r="D49" s="84">
        <v>0.35</v>
      </c>
      <c r="E49" s="84">
        <v>0.35</v>
      </c>
      <c r="F49" s="83">
        <v>155</v>
      </c>
      <c r="G49" s="84">
        <v>0.32</v>
      </c>
      <c r="H49" s="84">
        <v>0.32</v>
      </c>
      <c r="I49" s="84">
        <v>0.32</v>
      </c>
      <c r="J49" s="84">
        <v>0.32</v>
      </c>
    </row>
    <row r="50" spans="1:10" x14ac:dyDescent="0.2">
      <c r="A50" s="83">
        <v>155.5</v>
      </c>
      <c r="B50" s="84">
        <v>0.35</v>
      </c>
      <c r="C50" s="84">
        <v>0.35</v>
      </c>
      <c r="D50" s="84">
        <v>0.35</v>
      </c>
      <c r="E50" s="84">
        <v>0.35</v>
      </c>
      <c r="F50" s="83">
        <v>155.5</v>
      </c>
      <c r="G50" s="84">
        <v>0.32</v>
      </c>
      <c r="H50" s="84">
        <v>0.32</v>
      </c>
      <c r="I50" s="84">
        <v>0.32</v>
      </c>
      <c r="J50" s="84">
        <v>0.32</v>
      </c>
    </row>
    <row r="51" spans="1:10" x14ac:dyDescent="0.2">
      <c r="A51" s="83">
        <v>156</v>
      </c>
      <c r="B51" s="84">
        <v>0.35</v>
      </c>
      <c r="C51" s="84">
        <v>0.35</v>
      </c>
      <c r="D51" s="84">
        <v>0.35</v>
      </c>
      <c r="E51" s="84">
        <v>0.35</v>
      </c>
      <c r="F51" s="83">
        <v>156</v>
      </c>
      <c r="G51" s="84">
        <v>0.32</v>
      </c>
      <c r="H51" s="84">
        <v>0.32</v>
      </c>
      <c r="I51" s="84">
        <v>0.32</v>
      </c>
      <c r="J51" s="84">
        <v>0.32</v>
      </c>
    </row>
    <row r="52" spans="1:10" x14ac:dyDescent="0.2">
      <c r="A52" s="83">
        <v>156.5</v>
      </c>
      <c r="B52" s="84">
        <v>0.35</v>
      </c>
      <c r="C52" s="84">
        <v>0.35</v>
      </c>
      <c r="D52" s="84">
        <v>0.35</v>
      </c>
      <c r="E52" s="84">
        <v>0.35</v>
      </c>
      <c r="F52" s="83">
        <v>156.5</v>
      </c>
      <c r="G52" s="84">
        <v>0.32</v>
      </c>
      <c r="H52" s="84">
        <v>0.32</v>
      </c>
      <c r="I52" s="84">
        <v>0.32</v>
      </c>
      <c r="J52" s="84">
        <v>0.32</v>
      </c>
    </row>
    <row r="53" spans="1:10" x14ac:dyDescent="0.2">
      <c r="A53" s="83">
        <v>157</v>
      </c>
      <c r="B53" s="84">
        <v>0.35</v>
      </c>
      <c r="C53" s="84">
        <v>0.35</v>
      </c>
      <c r="D53" s="84">
        <v>0.35</v>
      </c>
      <c r="E53" s="84">
        <v>0.35</v>
      </c>
      <c r="F53" s="83">
        <v>157</v>
      </c>
      <c r="G53" s="84">
        <v>0.32</v>
      </c>
      <c r="H53" s="84">
        <v>0.32</v>
      </c>
      <c r="I53" s="84">
        <v>0.32</v>
      </c>
      <c r="J53" s="84">
        <v>0.32</v>
      </c>
    </row>
    <row r="54" spans="1:10" x14ac:dyDescent="0.2">
      <c r="A54" s="83">
        <v>157.5</v>
      </c>
      <c r="B54" s="84">
        <v>0.35</v>
      </c>
      <c r="C54" s="84">
        <v>0.35</v>
      </c>
      <c r="D54" s="84">
        <v>0.35</v>
      </c>
      <c r="E54" s="84">
        <v>0.35</v>
      </c>
      <c r="F54" s="83">
        <v>157.5</v>
      </c>
      <c r="G54" s="84">
        <v>0.32</v>
      </c>
      <c r="H54" s="84">
        <v>0.32</v>
      </c>
      <c r="I54" s="84">
        <v>0.32</v>
      </c>
      <c r="J54" s="84">
        <v>0.32</v>
      </c>
    </row>
    <row r="55" spans="1:10" x14ac:dyDescent="0.2">
      <c r="A55" s="83">
        <v>158</v>
      </c>
      <c r="B55" s="84">
        <v>0.35</v>
      </c>
      <c r="C55" s="84">
        <v>0.35</v>
      </c>
      <c r="D55" s="84">
        <v>0.35</v>
      </c>
      <c r="E55" s="84">
        <v>0.35</v>
      </c>
      <c r="F55" s="83">
        <v>158</v>
      </c>
      <c r="G55" s="84">
        <v>0.32</v>
      </c>
      <c r="H55" s="84">
        <v>0.32</v>
      </c>
      <c r="I55" s="84">
        <v>0.32</v>
      </c>
      <c r="J55" s="84">
        <v>0.32</v>
      </c>
    </row>
    <row r="56" spans="1:10" x14ac:dyDescent="0.2">
      <c r="A56" s="83">
        <v>158.5</v>
      </c>
      <c r="B56" s="84">
        <v>0.35</v>
      </c>
      <c r="C56" s="84">
        <v>0.35</v>
      </c>
      <c r="D56" s="84">
        <v>0.35</v>
      </c>
      <c r="E56" s="84">
        <v>0.35</v>
      </c>
      <c r="F56" s="83">
        <v>158.5</v>
      </c>
      <c r="G56" s="84">
        <v>0.32</v>
      </c>
      <c r="H56" s="84">
        <v>0.32</v>
      </c>
      <c r="I56" s="84">
        <v>0.32</v>
      </c>
      <c r="J56" s="84">
        <v>0.32</v>
      </c>
    </row>
    <row r="57" spans="1:10" x14ac:dyDescent="0.2">
      <c r="A57" s="83">
        <v>159</v>
      </c>
      <c r="B57" s="84">
        <v>0.35</v>
      </c>
      <c r="C57" s="84">
        <v>0.35</v>
      </c>
      <c r="D57" s="84">
        <v>0.35</v>
      </c>
      <c r="E57" s="84">
        <v>0.35</v>
      </c>
      <c r="F57" s="83">
        <v>159</v>
      </c>
      <c r="G57" s="84">
        <v>0.32</v>
      </c>
      <c r="H57" s="84">
        <v>0.32</v>
      </c>
      <c r="I57" s="84">
        <v>0.32</v>
      </c>
      <c r="J57" s="84">
        <v>0.32</v>
      </c>
    </row>
    <row r="58" spans="1:10" x14ac:dyDescent="0.2">
      <c r="A58" s="83">
        <v>159.5</v>
      </c>
      <c r="B58" s="84">
        <v>0.35</v>
      </c>
      <c r="C58" s="84">
        <v>0.35</v>
      </c>
      <c r="D58" s="84">
        <v>0.35</v>
      </c>
      <c r="E58" s="84">
        <v>0.35</v>
      </c>
      <c r="F58" s="83">
        <v>159.5</v>
      </c>
      <c r="G58" s="84">
        <v>0.32</v>
      </c>
      <c r="H58" s="84">
        <v>0.32</v>
      </c>
      <c r="I58" s="84">
        <v>0.32</v>
      </c>
      <c r="J58" s="84">
        <v>0.32</v>
      </c>
    </row>
    <row r="59" spans="1:10" x14ac:dyDescent="0.2">
      <c r="A59" s="83">
        <v>160</v>
      </c>
      <c r="B59" s="84">
        <v>0.35</v>
      </c>
      <c r="C59" s="84">
        <v>0.35</v>
      </c>
      <c r="D59" s="84">
        <v>0.35</v>
      </c>
      <c r="E59" s="84">
        <v>0.35</v>
      </c>
      <c r="F59" s="83">
        <v>160</v>
      </c>
      <c r="G59" s="84">
        <v>0.32</v>
      </c>
      <c r="H59" s="84">
        <v>0.32</v>
      </c>
      <c r="I59" s="84">
        <v>0.32</v>
      </c>
      <c r="J59" s="84">
        <v>0.32</v>
      </c>
    </row>
    <row r="60" spans="1:10" x14ac:dyDescent="0.2">
      <c r="A60" s="83">
        <v>160.5</v>
      </c>
      <c r="B60" s="84">
        <v>0.35</v>
      </c>
      <c r="C60" s="84">
        <v>0.35</v>
      </c>
      <c r="D60" s="84">
        <v>0.35</v>
      </c>
      <c r="E60" s="84">
        <v>0.35</v>
      </c>
      <c r="F60" s="83">
        <v>160.5</v>
      </c>
      <c r="G60" s="84">
        <v>0.32</v>
      </c>
      <c r="H60" s="84">
        <v>0.32</v>
      </c>
      <c r="I60" s="84">
        <v>0.32</v>
      </c>
      <c r="J60" s="84">
        <v>0.32</v>
      </c>
    </row>
    <row r="61" spans="1:10" x14ac:dyDescent="0.2">
      <c r="A61" s="83">
        <v>161</v>
      </c>
      <c r="B61" s="84">
        <v>0.35</v>
      </c>
      <c r="C61" s="84">
        <v>0.35</v>
      </c>
      <c r="D61" s="84">
        <v>0.35</v>
      </c>
      <c r="E61" s="84">
        <v>0.35</v>
      </c>
      <c r="F61" s="83">
        <v>161</v>
      </c>
      <c r="G61" s="84">
        <v>0.32</v>
      </c>
      <c r="H61" s="84">
        <v>0.32</v>
      </c>
      <c r="I61" s="84">
        <v>0.32</v>
      </c>
      <c r="J61" s="84">
        <v>0.32</v>
      </c>
    </row>
    <row r="62" spans="1:10" x14ac:dyDescent="0.2">
      <c r="A62" s="83">
        <v>161.5</v>
      </c>
      <c r="B62" s="84">
        <v>0.35</v>
      </c>
      <c r="C62" s="84">
        <v>0.35</v>
      </c>
      <c r="D62" s="84">
        <v>0.35</v>
      </c>
      <c r="E62" s="84">
        <v>0.35</v>
      </c>
      <c r="F62" s="83">
        <v>161.5</v>
      </c>
      <c r="G62" s="84">
        <v>0.32</v>
      </c>
      <c r="H62" s="84">
        <v>0.32</v>
      </c>
      <c r="I62" s="84">
        <v>0.32</v>
      </c>
      <c r="J62" s="84">
        <v>0.32</v>
      </c>
    </row>
    <row r="63" spans="1:10" x14ac:dyDescent="0.2">
      <c r="A63" s="83">
        <v>162</v>
      </c>
      <c r="B63" s="84">
        <v>0.35</v>
      </c>
      <c r="C63" s="84">
        <v>0.35</v>
      </c>
      <c r="D63" s="84">
        <v>0.35</v>
      </c>
      <c r="E63" s="84">
        <v>0.35</v>
      </c>
      <c r="F63" s="83">
        <v>162</v>
      </c>
      <c r="G63" s="84">
        <v>0.32</v>
      </c>
      <c r="H63" s="84">
        <v>0.32</v>
      </c>
      <c r="I63" s="84">
        <v>0.32</v>
      </c>
      <c r="J63" s="84">
        <v>0.32</v>
      </c>
    </row>
    <row r="64" spans="1:10" x14ac:dyDescent="0.2">
      <c r="A64" s="83">
        <v>162.5</v>
      </c>
      <c r="B64" s="84">
        <v>0.35</v>
      </c>
      <c r="C64" s="84">
        <v>0.35</v>
      </c>
      <c r="D64" s="84">
        <v>0.35</v>
      </c>
      <c r="E64" s="84">
        <v>0.35</v>
      </c>
      <c r="F64" s="83">
        <v>162.5</v>
      </c>
      <c r="G64" s="84">
        <v>0.32</v>
      </c>
      <c r="H64" s="84">
        <v>0.32</v>
      </c>
      <c r="I64" s="84">
        <v>0.32</v>
      </c>
      <c r="J64" s="84">
        <v>0.32</v>
      </c>
    </row>
    <row r="65" spans="1:10" x14ac:dyDescent="0.2">
      <c r="A65" s="83">
        <v>163</v>
      </c>
      <c r="B65" s="84">
        <v>0.35</v>
      </c>
      <c r="C65" s="84">
        <v>0.35</v>
      </c>
      <c r="D65" s="84">
        <v>0.35</v>
      </c>
      <c r="E65" s="84">
        <v>0.35</v>
      </c>
      <c r="F65" s="83">
        <v>163</v>
      </c>
      <c r="G65" s="84">
        <v>0.32</v>
      </c>
      <c r="H65" s="84">
        <v>0.32</v>
      </c>
      <c r="I65" s="84">
        <v>0.32</v>
      </c>
      <c r="J65" s="84">
        <v>0.32</v>
      </c>
    </row>
    <row r="66" spans="1:10" x14ac:dyDescent="0.2">
      <c r="A66" s="83">
        <v>163.5</v>
      </c>
      <c r="B66" s="84">
        <v>0.35</v>
      </c>
      <c r="C66" s="84">
        <v>0.35</v>
      </c>
      <c r="D66" s="84">
        <v>0.35</v>
      </c>
      <c r="E66" s="84">
        <v>0.35</v>
      </c>
      <c r="F66" s="83">
        <v>163.5</v>
      </c>
      <c r="G66" s="84">
        <v>0.32</v>
      </c>
      <c r="H66" s="84">
        <v>0.32</v>
      </c>
      <c r="I66" s="84">
        <v>0.32</v>
      </c>
      <c r="J66" s="84">
        <v>0.32</v>
      </c>
    </row>
    <row r="67" spans="1:10" x14ac:dyDescent="0.2">
      <c r="A67" s="83">
        <v>164</v>
      </c>
      <c r="B67" s="84">
        <v>0.35</v>
      </c>
      <c r="C67" s="84">
        <v>0.35</v>
      </c>
      <c r="D67" s="84">
        <v>0.35</v>
      </c>
      <c r="E67" s="84">
        <v>0.35</v>
      </c>
      <c r="F67" s="83">
        <v>164</v>
      </c>
      <c r="G67" s="84">
        <v>0.32</v>
      </c>
      <c r="H67" s="84">
        <v>0.32</v>
      </c>
      <c r="I67" s="84">
        <v>0.32</v>
      </c>
      <c r="J67" s="84">
        <v>0.32</v>
      </c>
    </row>
    <row r="68" spans="1:10" x14ac:dyDescent="0.2">
      <c r="A68" s="83">
        <v>164.5</v>
      </c>
      <c r="B68" s="84">
        <v>0.35</v>
      </c>
      <c r="C68" s="84">
        <v>0.35</v>
      </c>
      <c r="D68" s="84">
        <v>0.35</v>
      </c>
      <c r="E68" s="84">
        <v>0.35</v>
      </c>
      <c r="F68" s="83">
        <v>164.5</v>
      </c>
      <c r="G68" s="84">
        <v>0.32</v>
      </c>
      <c r="H68" s="84">
        <v>0.32</v>
      </c>
      <c r="I68" s="84">
        <v>0.32</v>
      </c>
      <c r="J68" s="84">
        <v>0.32</v>
      </c>
    </row>
    <row r="69" spans="1:10" x14ac:dyDescent="0.2">
      <c r="A69" s="83">
        <v>165</v>
      </c>
      <c r="B69" s="84">
        <v>0.35</v>
      </c>
      <c r="C69" s="84">
        <v>0.35</v>
      </c>
      <c r="D69" s="84">
        <v>0.35</v>
      </c>
      <c r="E69" s="84">
        <v>0.35</v>
      </c>
      <c r="F69" s="83">
        <v>165</v>
      </c>
      <c r="G69" s="84">
        <v>0.32</v>
      </c>
      <c r="H69" s="84">
        <v>0.32</v>
      </c>
      <c r="I69" s="84">
        <v>0.32</v>
      </c>
      <c r="J69" s="84">
        <v>0.32</v>
      </c>
    </row>
    <row r="70" spans="1:10" x14ac:dyDescent="0.2">
      <c r="A70" s="83">
        <v>165.5</v>
      </c>
      <c r="B70" s="84">
        <v>0.35</v>
      </c>
      <c r="C70" s="84">
        <v>0.35</v>
      </c>
      <c r="D70" s="84">
        <v>0.35</v>
      </c>
      <c r="E70" s="84">
        <v>0.35</v>
      </c>
      <c r="F70" s="83">
        <v>165.5</v>
      </c>
      <c r="G70" s="84">
        <v>0.32</v>
      </c>
      <c r="H70" s="84">
        <v>0.32</v>
      </c>
      <c r="I70" s="84">
        <v>0.32</v>
      </c>
      <c r="J70" s="84">
        <v>0.32</v>
      </c>
    </row>
    <row r="71" spans="1:10" x14ac:dyDescent="0.2">
      <c r="A71" s="83">
        <v>166</v>
      </c>
      <c r="B71" s="84">
        <v>0.35</v>
      </c>
      <c r="C71" s="84">
        <v>0.35</v>
      </c>
      <c r="D71" s="84">
        <v>0.35</v>
      </c>
      <c r="E71" s="84">
        <v>0.35</v>
      </c>
      <c r="F71" s="83">
        <v>166</v>
      </c>
      <c r="G71" s="84">
        <v>0.32</v>
      </c>
      <c r="H71" s="84">
        <v>0.32</v>
      </c>
      <c r="I71" s="84">
        <v>0.32</v>
      </c>
      <c r="J71" s="84">
        <v>0.32</v>
      </c>
    </row>
    <row r="72" spans="1:10" x14ac:dyDescent="0.2">
      <c r="A72" s="83">
        <v>166.5</v>
      </c>
      <c r="B72" s="84">
        <v>0.35</v>
      </c>
      <c r="C72" s="84">
        <v>0.35</v>
      </c>
      <c r="D72" s="84">
        <v>0.35</v>
      </c>
      <c r="E72" s="84">
        <v>0.35</v>
      </c>
      <c r="F72" s="83">
        <v>166.5</v>
      </c>
      <c r="G72" s="84">
        <v>0.32</v>
      </c>
      <c r="H72" s="84">
        <v>0.32</v>
      </c>
      <c r="I72" s="84">
        <v>0.32</v>
      </c>
      <c r="J72" s="84">
        <v>0.32</v>
      </c>
    </row>
    <row r="73" spans="1:10" x14ac:dyDescent="0.2">
      <c r="A73" s="83">
        <v>167</v>
      </c>
      <c r="B73" s="84">
        <v>0.35</v>
      </c>
      <c r="C73" s="84">
        <v>0.35</v>
      </c>
      <c r="D73" s="84">
        <v>0.35</v>
      </c>
      <c r="E73" s="84">
        <v>0.35</v>
      </c>
      <c r="F73" s="83">
        <v>167</v>
      </c>
      <c r="G73" s="84">
        <v>0.32</v>
      </c>
      <c r="H73" s="84">
        <v>0.32</v>
      </c>
      <c r="I73" s="84">
        <v>0.32</v>
      </c>
      <c r="J73" s="84">
        <v>0.32</v>
      </c>
    </row>
    <row r="74" spans="1:10" x14ac:dyDescent="0.2">
      <c r="A74" s="83">
        <v>167.5</v>
      </c>
      <c r="B74" s="84">
        <v>0.35</v>
      </c>
      <c r="C74" s="84">
        <v>0.35</v>
      </c>
      <c r="D74" s="84">
        <v>0.35</v>
      </c>
      <c r="E74" s="84">
        <v>0.35</v>
      </c>
      <c r="F74" s="83">
        <v>167.5</v>
      </c>
      <c r="G74" s="84">
        <v>0.32</v>
      </c>
      <c r="H74" s="84">
        <v>0.32</v>
      </c>
      <c r="I74" s="84">
        <v>0.32</v>
      </c>
      <c r="J74" s="84">
        <v>0.32</v>
      </c>
    </row>
    <row r="75" spans="1:10" x14ac:dyDescent="0.2">
      <c r="A75" s="83">
        <v>168</v>
      </c>
      <c r="B75" s="84">
        <v>0.35</v>
      </c>
      <c r="C75" s="84">
        <v>0.35</v>
      </c>
      <c r="D75" s="84">
        <v>0.35</v>
      </c>
      <c r="E75" s="84">
        <v>0.35</v>
      </c>
      <c r="F75" s="83">
        <v>168</v>
      </c>
      <c r="G75" s="84">
        <v>0.32</v>
      </c>
      <c r="H75" s="84">
        <v>0.32</v>
      </c>
      <c r="I75" s="84">
        <v>0.32</v>
      </c>
      <c r="J75" s="84">
        <v>0.32</v>
      </c>
    </row>
    <row r="76" spans="1:10" x14ac:dyDescent="0.2">
      <c r="A76" s="83">
        <v>168.5</v>
      </c>
      <c r="B76" s="84">
        <v>0.35</v>
      </c>
      <c r="C76" s="84">
        <v>0.35</v>
      </c>
      <c r="D76" s="84">
        <v>0.35</v>
      </c>
      <c r="E76" s="84">
        <v>0.35</v>
      </c>
      <c r="F76" s="83">
        <v>168.5</v>
      </c>
      <c r="G76" s="84">
        <v>0.32</v>
      </c>
      <c r="H76" s="84">
        <v>0.32</v>
      </c>
      <c r="I76" s="84">
        <v>0.32</v>
      </c>
      <c r="J76" s="84">
        <v>0.32</v>
      </c>
    </row>
    <row r="77" spans="1:10" x14ac:dyDescent="0.2">
      <c r="A77" s="83">
        <v>169</v>
      </c>
      <c r="B77" s="84">
        <v>0.35</v>
      </c>
      <c r="C77" s="84">
        <v>0.35</v>
      </c>
      <c r="D77" s="84">
        <v>0.35</v>
      </c>
      <c r="E77" s="84">
        <v>0.35</v>
      </c>
      <c r="F77" s="83">
        <v>169</v>
      </c>
      <c r="G77" s="84">
        <v>0.32</v>
      </c>
      <c r="H77" s="84">
        <v>0.32</v>
      </c>
      <c r="I77" s="84">
        <v>0.32</v>
      </c>
      <c r="J77" s="84">
        <v>0.32</v>
      </c>
    </row>
    <row r="78" spans="1:10" x14ac:dyDescent="0.2">
      <c r="A78" s="83">
        <v>169.5</v>
      </c>
      <c r="B78" s="84">
        <v>0.35</v>
      </c>
      <c r="C78" s="84">
        <v>0.35</v>
      </c>
      <c r="D78" s="84">
        <v>0.35</v>
      </c>
      <c r="E78" s="84">
        <v>0.35</v>
      </c>
      <c r="F78" s="83">
        <v>169.5</v>
      </c>
      <c r="G78" s="84">
        <v>0.32</v>
      </c>
      <c r="H78" s="84">
        <v>0.32</v>
      </c>
      <c r="I78" s="84">
        <v>0.32</v>
      </c>
      <c r="J78" s="84">
        <v>0.32</v>
      </c>
    </row>
    <row r="79" spans="1:10" x14ac:dyDescent="0.2">
      <c r="A79" s="83">
        <v>170</v>
      </c>
      <c r="B79" s="84">
        <v>0.35</v>
      </c>
      <c r="C79" s="84">
        <v>0.35</v>
      </c>
      <c r="D79" s="84">
        <v>0.35</v>
      </c>
      <c r="E79" s="84">
        <v>0.35</v>
      </c>
      <c r="F79" s="83">
        <v>170</v>
      </c>
      <c r="G79" s="84">
        <v>0.32</v>
      </c>
      <c r="H79" s="84">
        <v>0.32</v>
      </c>
      <c r="I79" s="84">
        <v>0.32</v>
      </c>
      <c r="J79" s="84">
        <v>0.32</v>
      </c>
    </row>
    <row r="80" spans="1:10" x14ac:dyDescent="0.2">
      <c r="A80" s="83">
        <v>170.5</v>
      </c>
      <c r="B80" s="84">
        <v>0.35</v>
      </c>
      <c r="C80" s="84">
        <v>0.35</v>
      </c>
      <c r="D80" s="84">
        <v>0.35</v>
      </c>
      <c r="E80" s="84">
        <v>0.35</v>
      </c>
      <c r="F80" s="83">
        <v>170.5</v>
      </c>
      <c r="G80" s="84">
        <v>0.32</v>
      </c>
      <c r="H80" s="84">
        <v>0.32</v>
      </c>
      <c r="I80" s="84">
        <v>0.32</v>
      </c>
      <c r="J80" s="84">
        <v>0.32</v>
      </c>
    </row>
    <row r="81" spans="1:10" x14ac:dyDescent="0.2">
      <c r="A81" s="83">
        <v>171</v>
      </c>
      <c r="B81" s="84">
        <v>0.35</v>
      </c>
      <c r="C81" s="84">
        <v>0.35</v>
      </c>
      <c r="D81" s="84">
        <v>0.35</v>
      </c>
      <c r="E81" s="84">
        <v>0.35</v>
      </c>
      <c r="F81" s="83">
        <v>171</v>
      </c>
      <c r="G81" s="84">
        <v>0.32</v>
      </c>
      <c r="H81" s="84">
        <v>0.32</v>
      </c>
      <c r="I81" s="84">
        <v>0.32</v>
      </c>
      <c r="J81" s="84">
        <v>0.32</v>
      </c>
    </row>
    <row r="82" spans="1:10" x14ac:dyDescent="0.2">
      <c r="A82" s="83">
        <v>171.5</v>
      </c>
      <c r="B82" s="84">
        <v>0.35</v>
      </c>
      <c r="C82" s="84">
        <v>0.35</v>
      </c>
      <c r="D82" s="84">
        <v>0.35</v>
      </c>
      <c r="E82" s="84">
        <v>0.35</v>
      </c>
      <c r="F82" s="83">
        <v>171.5</v>
      </c>
      <c r="G82" s="84">
        <v>0.32</v>
      </c>
      <c r="H82" s="84">
        <v>0.32</v>
      </c>
      <c r="I82" s="84">
        <v>0.32</v>
      </c>
      <c r="J82" s="84">
        <v>0.32</v>
      </c>
    </row>
    <row r="83" spans="1:10" x14ac:dyDescent="0.2">
      <c r="A83" s="83">
        <v>172</v>
      </c>
      <c r="B83" s="84">
        <v>0.35</v>
      </c>
      <c r="C83" s="84">
        <v>0.35</v>
      </c>
      <c r="D83" s="84">
        <v>0.35</v>
      </c>
      <c r="E83" s="84">
        <v>0.35</v>
      </c>
      <c r="F83" s="83">
        <v>172</v>
      </c>
      <c r="G83" s="84">
        <v>0.32</v>
      </c>
      <c r="H83" s="84">
        <v>0.32</v>
      </c>
      <c r="I83" s="84">
        <v>0.32</v>
      </c>
      <c r="J83" s="84">
        <v>0.32</v>
      </c>
    </row>
    <row r="84" spans="1:10" x14ac:dyDescent="0.2">
      <c r="A84" s="83">
        <v>172.5</v>
      </c>
      <c r="B84" s="84">
        <v>0.35</v>
      </c>
      <c r="C84" s="84">
        <v>0.35</v>
      </c>
      <c r="D84" s="84">
        <v>0.35</v>
      </c>
      <c r="E84" s="84">
        <v>0.35</v>
      </c>
      <c r="F84" s="83">
        <v>172.5</v>
      </c>
      <c r="G84" s="84">
        <v>0.32</v>
      </c>
      <c r="H84" s="84">
        <v>0.32</v>
      </c>
      <c r="I84" s="84">
        <v>0.32</v>
      </c>
      <c r="J84" s="84">
        <v>0.32</v>
      </c>
    </row>
    <row r="85" spans="1:10" x14ac:dyDescent="0.2">
      <c r="A85" s="83">
        <v>173</v>
      </c>
      <c r="B85" s="84">
        <v>0.35</v>
      </c>
      <c r="C85" s="84">
        <v>0.35</v>
      </c>
      <c r="D85" s="84">
        <v>0.35</v>
      </c>
      <c r="E85" s="84">
        <v>0.35</v>
      </c>
      <c r="F85" s="83">
        <v>173</v>
      </c>
      <c r="G85" s="84">
        <v>0.32</v>
      </c>
      <c r="H85" s="84">
        <v>0.32</v>
      </c>
      <c r="I85" s="84">
        <v>0.32</v>
      </c>
      <c r="J85" s="84">
        <v>0.32</v>
      </c>
    </row>
    <row r="86" spans="1:10" x14ac:dyDescent="0.2">
      <c r="A86" s="83">
        <v>173.5</v>
      </c>
      <c r="B86" s="84">
        <v>0.35</v>
      </c>
      <c r="C86" s="84">
        <v>0.35</v>
      </c>
      <c r="D86" s="84">
        <v>0.35</v>
      </c>
      <c r="E86" s="84">
        <v>0.35</v>
      </c>
      <c r="F86" s="83">
        <v>173.5</v>
      </c>
      <c r="G86" s="84">
        <v>0.32</v>
      </c>
      <c r="H86" s="84">
        <v>0.32</v>
      </c>
      <c r="I86" s="84">
        <v>0.32</v>
      </c>
      <c r="J86" s="84">
        <v>0.32</v>
      </c>
    </row>
    <row r="87" spans="1:10" x14ac:dyDescent="0.2">
      <c r="A87" s="83">
        <v>174</v>
      </c>
      <c r="B87" s="84">
        <v>0.35</v>
      </c>
      <c r="C87" s="84">
        <v>0.35</v>
      </c>
      <c r="D87" s="84">
        <v>0.35</v>
      </c>
      <c r="E87" s="84">
        <v>0.35</v>
      </c>
      <c r="F87" s="83">
        <v>174</v>
      </c>
      <c r="G87" s="84">
        <v>0.32</v>
      </c>
      <c r="H87" s="84">
        <v>0.32</v>
      </c>
      <c r="I87" s="84">
        <v>0.32</v>
      </c>
      <c r="J87" s="84">
        <v>0.32</v>
      </c>
    </row>
    <row r="88" spans="1:10" x14ac:dyDescent="0.2">
      <c r="A88" s="83">
        <v>174.5</v>
      </c>
      <c r="B88" s="84">
        <v>0.35</v>
      </c>
      <c r="C88" s="84">
        <v>0.35</v>
      </c>
      <c r="D88" s="84">
        <v>0.35</v>
      </c>
      <c r="E88" s="84">
        <v>0.35</v>
      </c>
      <c r="F88" s="83">
        <v>174.5</v>
      </c>
      <c r="G88" s="84">
        <v>0.32</v>
      </c>
      <c r="H88" s="84">
        <v>0.32</v>
      </c>
      <c r="I88" s="84">
        <v>0.32</v>
      </c>
      <c r="J88" s="84">
        <v>0.32</v>
      </c>
    </row>
    <row r="89" spans="1:10" x14ac:dyDescent="0.2">
      <c r="A89" s="83">
        <v>175</v>
      </c>
      <c r="B89" s="84">
        <v>0.35</v>
      </c>
      <c r="C89" s="84">
        <v>0.35</v>
      </c>
      <c r="D89" s="84">
        <v>0.35</v>
      </c>
      <c r="E89" s="84">
        <v>0.35</v>
      </c>
      <c r="F89" s="83">
        <v>175</v>
      </c>
      <c r="G89" s="84">
        <v>0.32</v>
      </c>
      <c r="H89" s="84">
        <v>0.32</v>
      </c>
      <c r="I89" s="84">
        <v>0.32</v>
      </c>
      <c r="J89" s="84">
        <v>0.32</v>
      </c>
    </row>
    <row r="90" spans="1:10" x14ac:dyDescent="0.2">
      <c r="A90" s="83">
        <v>175.5</v>
      </c>
      <c r="B90" s="84">
        <v>0.35</v>
      </c>
      <c r="C90" s="84">
        <v>0.35</v>
      </c>
      <c r="D90" s="84">
        <v>0.35</v>
      </c>
      <c r="E90" s="84">
        <v>0.35</v>
      </c>
      <c r="F90" s="83">
        <v>175.5</v>
      </c>
      <c r="G90" s="84">
        <v>0.32</v>
      </c>
      <c r="H90" s="84">
        <v>0.32</v>
      </c>
      <c r="I90" s="84">
        <v>0.32</v>
      </c>
      <c r="J90" s="84">
        <v>0.32</v>
      </c>
    </row>
    <row r="91" spans="1:10" x14ac:dyDescent="0.2">
      <c r="A91" s="83">
        <v>176</v>
      </c>
      <c r="B91" s="84">
        <v>0.35</v>
      </c>
      <c r="C91" s="84">
        <v>0.35</v>
      </c>
      <c r="D91" s="84">
        <v>0.35</v>
      </c>
      <c r="E91" s="84">
        <v>0.35</v>
      </c>
      <c r="F91" s="83">
        <v>176</v>
      </c>
      <c r="G91" s="84">
        <v>0.32</v>
      </c>
      <c r="H91" s="84">
        <v>0.32</v>
      </c>
      <c r="I91" s="84">
        <v>0.32</v>
      </c>
      <c r="J91" s="84">
        <v>0.32</v>
      </c>
    </row>
    <row r="92" spans="1:10" x14ac:dyDescent="0.2">
      <c r="A92" s="83">
        <v>176.5</v>
      </c>
      <c r="B92" s="84">
        <v>0.35</v>
      </c>
      <c r="C92" s="84">
        <v>0.35</v>
      </c>
      <c r="D92" s="84">
        <v>0.35</v>
      </c>
      <c r="E92" s="84">
        <v>0.35</v>
      </c>
      <c r="F92" s="83">
        <v>176.5</v>
      </c>
      <c r="G92" s="84">
        <v>0.32</v>
      </c>
      <c r="H92" s="84">
        <v>0.32</v>
      </c>
      <c r="I92" s="84">
        <v>0.32</v>
      </c>
      <c r="J92" s="84">
        <v>0.32</v>
      </c>
    </row>
    <row r="93" spans="1:10" x14ac:dyDescent="0.2">
      <c r="A93" s="83">
        <v>177</v>
      </c>
      <c r="B93" s="84">
        <v>0.35</v>
      </c>
      <c r="C93" s="84">
        <v>0.35</v>
      </c>
      <c r="D93" s="84">
        <v>0.35</v>
      </c>
      <c r="E93" s="84">
        <v>0.35</v>
      </c>
      <c r="F93" s="83">
        <v>177</v>
      </c>
      <c r="G93" s="84">
        <v>0.32</v>
      </c>
      <c r="H93" s="84">
        <v>0.32</v>
      </c>
      <c r="I93" s="84">
        <v>0.32</v>
      </c>
      <c r="J93" s="84">
        <v>0.32</v>
      </c>
    </row>
    <row r="94" spans="1:10" x14ac:dyDescent="0.2">
      <c r="A94" s="83">
        <v>177.5</v>
      </c>
      <c r="B94" s="84">
        <v>0.35</v>
      </c>
      <c r="C94" s="84">
        <v>0.35</v>
      </c>
      <c r="D94" s="84">
        <v>0.35</v>
      </c>
      <c r="E94" s="84">
        <v>0.35</v>
      </c>
      <c r="F94" s="83">
        <v>177.5</v>
      </c>
      <c r="G94" s="84">
        <v>0.32</v>
      </c>
      <c r="H94" s="84">
        <v>0.32</v>
      </c>
      <c r="I94" s="84">
        <v>0.32</v>
      </c>
      <c r="J94" s="84">
        <v>0.32</v>
      </c>
    </row>
    <row r="95" spans="1:10" x14ac:dyDescent="0.2">
      <c r="A95" s="83">
        <v>178</v>
      </c>
      <c r="B95" s="84">
        <v>0.35</v>
      </c>
      <c r="C95" s="84">
        <v>0.35</v>
      </c>
      <c r="D95" s="84">
        <v>0.35</v>
      </c>
      <c r="E95" s="84">
        <v>0.35</v>
      </c>
      <c r="F95" s="83">
        <v>178</v>
      </c>
      <c r="G95" s="84">
        <v>0.32</v>
      </c>
      <c r="H95" s="84">
        <v>0.32</v>
      </c>
      <c r="I95" s="84">
        <v>0.32</v>
      </c>
      <c r="J95" s="84">
        <v>0.32</v>
      </c>
    </row>
    <row r="96" spans="1:10" x14ac:dyDescent="0.2">
      <c r="A96" s="83">
        <v>178.5</v>
      </c>
      <c r="B96" s="84">
        <v>0.35</v>
      </c>
      <c r="C96" s="84">
        <v>0.35</v>
      </c>
      <c r="D96" s="84">
        <v>0.35</v>
      </c>
      <c r="E96" s="84">
        <v>0.35</v>
      </c>
      <c r="F96" s="83">
        <v>178.5</v>
      </c>
      <c r="G96" s="84">
        <v>0.32</v>
      </c>
      <c r="H96" s="84">
        <v>0.32</v>
      </c>
      <c r="I96" s="84">
        <v>0.32</v>
      </c>
      <c r="J96" s="84">
        <v>0.32</v>
      </c>
    </row>
    <row r="97" spans="1:10" x14ac:dyDescent="0.2">
      <c r="A97" s="83">
        <v>179</v>
      </c>
      <c r="B97" s="84">
        <v>0.35</v>
      </c>
      <c r="C97" s="84">
        <v>0.35</v>
      </c>
      <c r="D97" s="84">
        <v>0.35</v>
      </c>
      <c r="E97" s="84">
        <v>0.35</v>
      </c>
      <c r="F97" s="83">
        <v>179</v>
      </c>
      <c r="G97" s="84">
        <v>0.32</v>
      </c>
      <c r="H97" s="84">
        <v>0.32</v>
      </c>
      <c r="I97" s="84">
        <v>0.32</v>
      </c>
      <c r="J97" s="84">
        <v>0.32</v>
      </c>
    </row>
    <row r="98" spans="1:10" x14ac:dyDescent="0.2">
      <c r="A98" s="83">
        <v>179.5</v>
      </c>
      <c r="B98" s="84">
        <v>0.35</v>
      </c>
      <c r="C98" s="84">
        <v>0.35</v>
      </c>
      <c r="D98" s="84">
        <v>0.35</v>
      </c>
      <c r="E98" s="84">
        <v>0.35</v>
      </c>
      <c r="F98" s="83">
        <v>179.5</v>
      </c>
      <c r="G98" s="84">
        <v>0.32</v>
      </c>
      <c r="H98" s="84">
        <v>0.32</v>
      </c>
      <c r="I98" s="84">
        <v>0.32</v>
      </c>
      <c r="J98" s="84">
        <v>0.32</v>
      </c>
    </row>
    <row r="99" spans="1:10" x14ac:dyDescent="0.2">
      <c r="A99" s="83">
        <v>180</v>
      </c>
      <c r="B99" s="84">
        <v>0.35</v>
      </c>
      <c r="C99" s="84">
        <v>0.35</v>
      </c>
      <c r="D99" s="84">
        <v>0.35</v>
      </c>
      <c r="E99" s="84">
        <v>0.35</v>
      </c>
      <c r="F99" s="83">
        <v>180</v>
      </c>
      <c r="G99" s="84">
        <v>0.32</v>
      </c>
      <c r="H99" s="84">
        <v>0.32</v>
      </c>
      <c r="I99" s="84">
        <v>0.32</v>
      </c>
      <c r="J99" s="84">
        <v>0.32</v>
      </c>
    </row>
  </sheetData>
  <mergeCells count="13">
    <mergeCell ref="F6:G6"/>
    <mergeCell ref="F7:F8"/>
    <mergeCell ref="A7:A8"/>
    <mergeCell ref="A2:B2"/>
    <mergeCell ref="A3:B3"/>
    <mergeCell ref="A4:B4"/>
    <mergeCell ref="A5:B5"/>
    <mergeCell ref="A6:B6"/>
    <mergeCell ref="K2:L2"/>
    <mergeCell ref="F2:G2"/>
    <mergeCell ref="F3:G3"/>
    <mergeCell ref="F4:G4"/>
    <mergeCell ref="F5:G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実績</vt:lpstr>
      <vt:lpstr>計画</vt:lpstr>
      <vt:lpstr>燃料消費量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Yoshimura</dc:creator>
  <cp:lastModifiedBy>歩 坂本</cp:lastModifiedBy>
  <cp:lastPrinted>2017-07-25T09:30:46Z</cp:lastPrinted>
  <dcterms:created xsi:type="dcterms:W3CDTF">2017-07-22T14:52:55Z</dcterms:created>
  <dcterms:modified xsi:type="dcterms:W3CDTF">2026-07-18T22:03:39Z</dcterms:modified>
</cp:coreProperties>
</file>